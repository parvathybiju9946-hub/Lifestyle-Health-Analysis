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2B22E845-A36A-4D9B-954C-89FE3586F74C}" xr6:coauthVersionLast="47" xr6:coauthVersionMax="47" xr10:uidLastSave="{00000000-0000-0000-0000-000000000000}"/>
  <bookViews>
    <workbookView xWindow="-120" yWindow="-120" windowWidth="20730" windowHeight="11160" activeTab="3" xr2:uid="{79C0B4B9-28D9-4594-B4A9-56858E3A1CA2}"/>
  </bookViews>
  <sheets>
    <sheet name="Health and Nutritional Awarenes" sheetId="1" r:id="rId1"/>
    <sheet name="Sheet1" sheetId="2" r:id="rId2"/>
    <sheet name="Table1" sheetId="3" r:id="rId3"/>
    <sheet name="PivotTable" sheetId="5" r:id="rId4"/>
    <sheet name="DashBoard" sheetId="6" r:id="rId5"/>
    <sheet name="GOALSEEK" sheetId="4" r:id="rId6"/>
  </sheets>
  <definedNames>
    <definedName name="_xlnm._FilterDatabase" localSheetId="0" hidden="1">'Health and Nutritional Awarenes'!$R$1:$R$297</definedName>
    <definedName name="_xlcn.WorksheetConnection_LifestylehealthProj1.2.xlsmTable1_21" hidden="1">Table1_2[]</definedName>
    <definedName name="_xlcn.WorksheetConnection_LifestylehealthProj1.3.xlsmTable11" hidden="1">Table1[]</definedName>
    <definedName name="ExternalData_1" localSheetId="2" hidden="1">Table1!$A$1:$T$129</definedName>
    <definedName name="Normal_BMI">#REF!</definedName>
    <definedName name="Slicer_BMI_Category">#N/A</definedName>
    <definedName name="Slicer_Health_issues">#N/A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s>
  <extLst>
    <ext xmlns:x14="http://schemas.microsoft.com/office/spreadsheetml/2009/9/main" uri="{876F7934-8845-4945-9796-88D515C7AA90}">
      <x14:pivotCaches>
        <pivotCache cacheId="8" r:id="rId15"/>
      </x14:pivotCaches>
    </ex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_ba03f59e-9415-4aad-b7b6-974e24011ad6" name="Table1" connection="Query - Table1"/>
          <x15:modelTable id="Table1 1" name="Table1 1" connection="WorksheetConnection_Lifestyle &amp; health Proj1.3.xlsm!Table1"/>
          <x15:modelTable id="Table1_2" name="Table1_2" connection="WorksheetConnection_Lifestyle &amp; health Proj1.2.xlsm!Table1_2"/>
        </x15:modelTables>
      </x15:dataModel>
    </ext>
  </extLst>
</workbook>
</file>

<file path=xl/calcChain.xml><?xml version="1.0" encoding="utf-8"?>
<calcChain xmlns="http://schemas.openxmlformats.org/spreadsheetml/2006/main">
  <c r="B3"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D4E4D-DBD6-48AE-9443-552E747D5A14}" keepAlive="1" name="ModelConnection_ExternalData_1" description="Data Model" type="5" refreshedVersion="8" minRefreshableVersion="5" saveData="1">
    <dbPr connection="Data Model Connection" command="Table1" commandType="3"/>
    <extLst>
      <ext xmlns:x15="http://schemas.microsoft.com/office/spreadsheetml/2010/11/main" uri="{DE250136-89BD-433C-8126-D09CA5730AF9}">
        <x15:connection id="" model="1"/>
      </ext>
    </extLst>
  </connection>
  <connection id="2" xr16:uid="{C78704C9-3EB9-4866-99DD-259A2D243464}" name="Query - Table1" description="Connection to the 'Table1' query in the workbook." type="100" refreshedVersion="8" minRefreshableVersion="5">
    <extLst>
      <ext xmlns:x15="http://schemas.microsoft.com/office/spreadsheetml/2010/11/main" uri="{DE250136-89BD-433C-8126-D09CA5730AF9}">
        <x15:connection id="c84084d9-4d60-459f-bc00-54a3da04e3c6"/>
      </ext>
    </extLst>
  </connection>
  <connection id="3" xr16:uid="{D3BBC209-4D70-4784-9CDE-FB8196AFE28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101AD6AE-4E08-48CA-A5FC-487FC77EBF38}" name="WorksheetConnection_Lifestyle &amp; health Proj1.2.xlsm!Table1_2" type="102" refreshedVersion="8" minRefreshableVersion="5">
    <extLst>
      <ext xmlns:x15="http://schemas.microsoft.com/office/spreadsheetml/2010/11/main" uri="{DE250136-89BD-433C-8126-D09CA5730AF9}">
        <x15:connection id="Table1_2" autoDelete="1">
          <x15:rangePr sourceName="_xlcn.WorksheetConnection_LifestylehealthProj1.2.xlsmTable1_21"/>
        </x15:connection>
      </ext>
    </extLst>
  </connection>
  <connection id="5" xr16:uid="{1AC05DB2-59F4-4C72-B4D3-90B3A802579F}" name="WorksheetConnection_Lifestyle &amp; health Proj1.3.xlsm!Table1" type="102" refreshedVersion="8" minRefreshableVersion="5">
    <extLst>
      <ext xmlns:x15="http://schemas.microsoft.com/office/spreadsheetml/2010/11/main" uri="{DE250136-89BD-433C-8126-D09CA5730AF9}">
        <x15:connection id="Table1 1">
          <x15:rangePr sourceName="_xlcn.WorksheetConnection_LifestylehealthProj1.3.xlsmTable11"/>
        </x15:connection>
      </ext>
    </extLst>
  </connection>
</connections>
</file>

<file path=xl/sharedStrings.xml><?xml version="1.0" encoding="utf-8"?>
<sst xmlns="http://schemas.openxmlformats.org/spreadsheetml/2006/main" count="7217" uniqueCount="170">
  <si>
    <t>Height(in cm)</t>
  </si>
  <si>
    <t>Weight(in kg)</t>
  </si>
  <si>
    <t>BMI</t>
  </si>
  <si>
    <t>18-24</t>
  </si>
  <si>
    <t>Male</t>
  </si>
  <si>
    <t>Vegetarian</t>
  </si>
  <si>
    <t>Often</t>
  </si>
  <si>
    <t>Sometimes</t>
  </si>
  <si>
    <t>1-3 times per week</t>
  </si>
  <si>
    <t>5-6 times a week</t>
  </si>
  <si>
    <t>Sugary drinks</t>
  </si>
  <si>
    <t>Rarely</t>
  </si>
  <si>
    <t>Walking/Jogging</t>
  </si>
  <si>
    <t>1-2 days</t>
  </si>
  <si>
    <t>None</t>
  </si>
  <si>
    <t>7-8 hours</t>
  </si>
  <si>
    <t>More than 3 liters</t>
  </si>
  <si>
    <t>None of the above</t>
  </si>
  <si>
    <t>Every 6 months</t>
  </si>
  <si>
    <t>Daily</t>
  </si>
  <si>
    <t>4-6 times per week</t>
  </si>
  <si>
    <t>2-3 times a week</t>
  </si>
  <si>
    <t>Indian sweets</t>
  </si>
  <si>
    <t>Yes</t>
  </si>
  <si>
    <t>5-6 days</t>
  </si>
  <si>
    <t>Meditation</t>
  </si>
  <si>
    <t>Only when sick</t>
  </si>
  <si>
    <t>1 time a month</t>
  </si>
  <si>
    <t>Walking/Jogging, Gym workouts</t>
  </si>
  <si>
    <t>Yoga, Deep Breathing</t>
  </si>
  <si>
    <t>1 times a week</t>
  </si>
  <si>
    <t>Sports, Gym workouts</t>
  </si>
  <si>
    <t>3-4 days</t>
  </si>
  <si>
    <t>Fatigue (Frequent tiredness), Stress or Anxiety</t>
  </si>
  <si>
    <t>1-2 liters</t>
  </si>
  <si>
    <t>Meditation, Deep Breathing</t>
  </si>
  <si>
    <t>Female</t>
  </si>
  <si>
    <t>Insomnia (Poor sleep)</t>
  </si>
  <si>
    <t>5-6 hours</t>
  </si>
  <si>
    <t>Every 2-3 years</t>
  </si>
  <si>
    <t>1 times a month</t>
  </si>
  <si>
    <t>Walking/Jogging, Sports, Gym workouts</t>
  </si>
  <si>
    <t>Once a year</t>
  </si>
  <si>
    <t>No</t>
  </si>
  <si>
    <t>Never</t>
  </si>
  <si>
    <t>Low immunity (fall sick often)</t>
  </si>
  <si>
    <t>More than 8</t>
  </si>
  <si>
    <t>Digestive problems (acidity, constipation, bloating, etc)</t>
  </si>
  <si>
    <t>Deep Breathing</t>
  </si>
  <si>
    <t>Yoga</t>
  </si>
  <si>
    <t>Swimming</t>
  </si>
  <si>
    <t>Fatigue (Frequent tiredness)</t>
  </si>
  <si>
    <t>Gym workouts</t>
  </si>
  <si>
    <t>Stress or Anxiety</t>
  </si>
  <si>
    <t>Non-vegetarian</t>
  </si>
  <si>
    <t>2-3 liters</t>
  </si>
  <si>
    <t>Indian sweets, Sugary drinks</t>
  </si>
  <si>
    <t>Walking/Jogging, Sports, Swimming, Gym workouts</t>
  </si>
  <si>
    <t>Less than 1 liter</t>
  </si>
  <si>
    <t>Walking/Jogging, Suryanamaskar</t>
  </si>
  <si>
    <t>Insomnia (Poor sleep), Stress or Anxiety, Digestive problems (acidity, constipation, bloating, etc)</t>
  </si>
  <si>
    <t>Walking/Jogging, Sports</t>
  </si>
  <si>
    <t>Sports</t>
  </si>
  <si>
    <t>Insomnia (Poor sleep), Digestive problems (acidity, constipation, bloating, etc)</t>
  </si>
  <si>
    <t>Stress or Anxiety, Digestive problems (acidity, constipation, bloating, etc)</t>
  </si>
  <si>
    <t>Less than 5 hours</t>
  </si>
  <si>
    <t>Eggetarian</t>
  </si>
  <si>
    <t>Deep Breathing, Therapeutic Sound therapy</t>
  </si>
  <si>
    <t>Meditation, Deep Breathing, Therapeutic Sound therapy</t>
  </si>
  <si>
    <t>Sugary drinks, Indian sweets</t>
  </si>
  <si>
    <t>Swimming, Walking/Jogging</t>
  </si>
  <si>
    <t>Yoga, Meditation</t>
  </si>
  <si>
    <t>1 time a week</t>
  </si>
  <si>
    <t>Walking/Jogging,Gym workouts</t>
  </si>
  <si>
    <t>Other, Sports</t>
  </si>
  <si>
    <t xml:space="preserve"> None</t>
  </si>
  <si>
    <t>None, Swimming</t>
  </si>
  <si>
    <t xml:space="preserve"> Fatigue (Frequent tiredness)</t>
  </si>
  <si>
    <t>Gym workouts, Sports</t>
  </si>
  <si>
    <t>Digestive problems (acidity, constipation, bloating, etc), Low immunity (fall sick often)</t>
  </si>
  <si>
    <t>Therapeutic Sound therapy</t>
  </si>
  <si>
    <t>Sugary drinks, None</t>
  </si>
  <si>
    <t xml:space="preserve"> Low immunity (fall sick often)</t>
  </si>
  <si>
    <t>25-34</t>
  </si>
  <si>
    <t>Walking/Jogging, Swimming</t>
  </si>
  <si>
    <t>Yoga, Meditation, Deep Breathing, Therapeutic Sound therapy</t>
  </si>
  <si>
    <t>Other, Walking/Jogging</t>
  </si>
  <si>
    <t>Other,Insomnia (Poor sleep)</t>
  </si>
  <si>
    <t>Other, Digestive problems (acidity, constipation, bloating, etc)</t>
  </si>
  <si>
    <t xml:space="preserve"> Stress/Anxiety,Insomnia (Poor sleep)</t>
  </si>
  <si>
    <t xml:space="preserve"> Sugary drinks</t>
  </si>
  <si>
    <t>Low immunity (fall sick often), Other</t>
  </si>
  <si>
    <t>Sports, Swimming</t>
  </si>
  <si>
    <t>Stress/Anxiety, Fatigue (Frequent tiredness)</t>
  </si>
  <si>
    <t>35-44</t>
  </si>
  <si>
    <t>Insomnia (Poor sleep),Low immunity (fall sick often)</t>
  </si>
  <si>
    <t>Stress/Anxiety</t>
  </si>
  <si>
    <t>45-54</t>
  </si>
  <si>
    <t>Swimming, Gym workouts</t>
  </si>
  <si>
    <t>Deep Breathing, Meditation</t>
  </si>
  <si>
    <t xml:space="preserve"> Stress/Anxiety</t>
  </si>
  <si>
    <t>Above 55</t>
  </si>
  <si>
    <t>Fatigue (Frequent tiredness), Low immunity (fall sick often)</t>
  </si>
  <si>
    <t xml:space="preserve"> Walking/Jogging</t>
  </si>
  <si>
    <t>Below 18</t>
  </si>
  <si>
    <t>Indian sweets,Sugary drinks</t>
  </si>
  <si>
    <t xml:space="preserve"> Age Group</t>
  </si>
  <si>
    <t xml:space="preserve"> Gender</t>
  </si>
  <si>
    <t xml:space="preserve">Type of diet </t>
  </si>
  <si>
    <t xml:space="preserve"> Oily foods consumption</t>
  </si>
  <si>
    <t>Sugary products consumption</t>
  </si>
  <si>
    <t>Type of physical activity</t>
  </si>
  <si>
    <t xml:space="preserve"> Physical activity frequency</t>
  </si>
  <si>
    <t>Health issues</t>
  </si>
  <si>
    <t>Sleep duration</t>
  </si>
  <si>
    <t>Drinking water per day</t>
  </si>
  <si>
    <t xml:space="preserve">Stress reduction practice </t>
  </si>
  <si>
    <t xml:space="preserve"> Medical check-ups frequency</t>
  </si>
  <si>
    <t xml:space="preserve">   fruits and vegetables consumption frequncy</t>
  </si>
  <si>
    <t>Fast food consumption frequency</t>
  </si>
  <si>
    <t>Physical activity perform</t>
  </si>
  <si>
    <t xml:space="preserve">Packaged sweets </t>
  </si>
  <si>
    <t xml:space="preserve">Sugary drinks, Packaged sweets </t>
  </si>
  <si>
    <t>Packaged sweets ,Sugary drinks</t>
  </si>
  <si>
    <t>Packaged sweets , Sugary drinks</t>
  </si>
  <si>
    <t xml:space="preserve">Bakery sweets </t>
  </si>
  <si>
    <t xml:space="preserve">Packaged sweets , Bakery sweets </t>
  </si>
  <si>
    <t>Packaged sweets , Bakery sweets , Indian sweets</t>
  </si>
  <si>
    <t>Bakery sweets , Sugary drinks</t>
  </si>
  <si>
    <t>Bakery sweets , Indian sweets</t>
  </si>
  <si>
    <t xml:space="preserve">Sugary drinks, Bakery sweets </t>
  </si>
  <si>
    <t>Bakery sweets ,Indian sweets</t>
  </si>
  <si>
    <t>Bakery product, Sugary drinks</t>
  </si>
  <si>
    <t>Bakery product, Indian sweets</t>
  </si>
  <si>
    <t>Packaged sweet, Bakery product</t>
  </si>
  <si>
    <t>Packaged sweet, Indian sweets, Sugary drinks</t>
  </si>
  <si>
    <t>Packaged sweet, Sugary drinks</t>
  </si>
  <si>
    <t>Packaged sweet, Indian sweets</t>
  </si>
  <si>
    <t>Packaged sweet, Bakery product, Sugary drinks</t>
  </si>
  <si>
    <t>Bakery product</t>
  </si>
  <si>
    <t>Packaged sweet</t>
  </si>
  <si>
    <t>Packaged sweet, Bakery product, Indian sweets, Sugary drinks</t>
  </si>
  <si>
    <t>Age Group</t>
  </si>
  <si>
    <t>Gender</t>
  </si>
  <si>
    <t>Type of diet</t>
  </si>
  <si>
    <t>Oily foods consumption</t>
  </si>
  <si>
    <t>fruits and vegetables consumption frequncy</t>
  </si>
  <si>
    <t>Physical activity frequency</t>
  </si>
  <si>
    <t>Stress reduction practice</t>
  </si>
  <si>
    <t>Medical check-ups frequency</t>
  </si>
  <si>
    <t>BMI_Category</t>
  </si>
  <si>
    <t>Activity_Level</t>
  </si>
  <si>
    <t>Normal</t>
  </si>
  <si>
    <t>High</t>
  </si>
  <si>
    <t>Low</t>
  </si>
  <si>
    <t>Bakery sweets</t>
  </si>
  <si>
    <t>Underweight</t>
  </si>
  <si>
    <t>Overweight</t>
  </si>
  <si>
    <t>obese</t>
  </si>
  <si>
    <t>Packaged sweets</t>
  </si>
  <si>
    <t>Packaged sweets , Bakery sweets</t>
  </si>
  <si>
    <t>Height (cm)</t>
  </si>
  <si>
    <t>Weight (kg)</t>
  </si>
  <si>
    <t>BMI Value</t>
  </si>
  <si>
    <t>BMI = Weight/(Height/100)^2</t>
  </si>
  <si>
    <t>Row Labels</t>
  </si>
  <si>
    <t>Column Labels</t>
  </si>
  <si>
    <t>Count of BMI_Category</t>
  </si>
  <si>
    <t>Average of BMI</t>
  </si>
  <si>
    <t>Count of Health issues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</si>
</sst>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2" fontId="0" fillId="0" borderId="0" xfId="0" applyNumberFormat="1"/>
    <xf numFmtId="0" fontId="16" fillId="0" borderId="0" xfId="0" applyFont="1"/>
    <xf numFmtId="0" fontId="16" fillId="33" borderId="0" xfId="0" applyFont="1" applyFill="1"/>
    <xf numFmtId="0" fontId="0" fillId="0" borderId="0" xfId="0" pivotButton="1"/>
    <xf numFmtId="0" fontId="0" fillId="0" borderId="0" xfId="0" applyAlignment="1">
      <alignment horizontal="left"/>
    </xf>
    <xf numFmtId="1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sharedStrings" Target="sharedStrings.xml"/><Relationship Id="rId34" Type="http://schemas.openxmlformats.org/officeDocument/2006/relationships/customXml" Target="../customXml/item11.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microsoft.com/office/2007/relationships/slicerCache" Target="slicerCaches/slicerCache2.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29" Type="http://schemas.openxmlformats.org/officeDocument/2006/relationships/customXml" Target="../customXml/item6.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4.xml"/><Relationship Id="rId19" Type="http://schemas.openxmlformats.org/officeDocument/2006/relationships/connections" Target="connection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[Lifestyle &amp; health Proj1.3.xlsm]PivotTable!PivotTable2</c:name>
    <c:fmtId val="2"/>
  </c:pivotSource>
  <c:chart>
    <c:title>
      <c:tx>
        <c:rich>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r>
              <a:rPr lang="en-IN" b="1">
                <a:solidFill>
                  <a:sysClr val="windowText" lastClr="000000"/>
                </a:solidFill>
              </a:rPr>
              <a:t>AGE</a:t>
            </a:r>
            <a:r>
              <a:rPr lang="en-IN"/>
              <a:t> </a:t>
            </a:r>
            <a:r>
              <a:rPr lang="en-IN" b="1">
                <a:solidFill>
                  <a:sysClr val="windowText" lastClr="000000"/>
                </a:solidFill>
              </a:rPr>
              <a:t>GROUP</a:t>
            </a:r>
            <a:r>
              <a:rPr lang="en-IN"/>
              <a:t> </a:t>
            </a:r>
            <a:r>
              <a:rPr lang="en-IN" b="1">
                <a:solidFill>
                  <a:sysClr val="windowText" lastClr="000000"/>
                </a:solidFill>
              </a:rPr>
              <a:t>VS</a:t>
            </a:r>
            <a:r>
              <a:rPr lang="en-IN"/>
              <a:t> </a:t>
            </a:r>
            <a:r>
              <a:rPr lang="en-IN" b="1">
                <a:solidFill>
                  <a:sysClr val="windowText" lastClr="000000"/>
                </a:solidFill>
              </a:rPr>
              <a:t>AVERAGE</a:t>
            </a:r>
            <a:r>
              <a:rPr lang="en-IN"/>
              <a:t> </a:t>
            </a:r>
            <a:r>
              <a:rPr lang="en-IN" b="1">
                <a:solidFill>
                  <a:sysClr val="windowText" lastClr="000000"/>
                </a:solidFill>
              </a:rPr>
              <a:t>BMI</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40393528489464"/>
          <c:y val="0.30843762950683795"/>
          <c:w val="0.74725196850393705"/>
          <c:h val="0.53209572761738111"/>
        </c:manualLayout>
      </c:layout>
      <c:lineChart>
        <c:grouping val="standard"/>
        <c:varyColors val="0"/>
        <c:ser>
          <c:idx val="0"/>
          <c:order val="0"/>
          <c:tx>
            <c:strRef>
              <c:f>PivotTable!$G$3</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PivotTable!$F$4:$F$9</c:f>
              <c:strCache>
                <c:ptCount val="6"/>
                <c:pt idx="0">
                  <c:v>18-24</c:v>
                </c:pt>
                <c:pt idx="1">
                  <c:v>25-34</c:v>
                </c:pt>
                <c:pt idx="2">
                  <c:v>35-44</c:v>
                </c:pt>
                <c:pt idx="3">
                  <c:v>45-54</c:v>
                </c:pt>
                <c:pt idx="4">
                  <c:v>Above 55</c:v>
                </c:pt>
                <c:pt idx="5">
                  <c:v>Below 18</c:v>
                </c:pt>
              </c:strCache>
            </c:strRef>
          </c:cat>
          <c:val>
            <c:numRef>
              <c:f>PivotTable!$G$4:$G$9</c:f>
              <c:numCache>
                <c:formatCode>General</c:formatCode>
                <c:ptCount val="6"/>
                <c:pt idx="0">
                  <c:v>22.743909678571431</c:v>
                </c:pt>
                <c:pt idx="1">
                  <c:v>23.705522487999996</c:v>
                </c:pt>
                <c:pt idx="2">
                  <c:v>25.598163606666663</c:v>
                </c:pt>
                <c:pt idx="3">
                  <c:v>26.303870280000005</c:v>
                </c:pt>
                <c:pt idx="4">
                  <c:v>22.414316394</c:v>
                </c:pt>
                <c:pt idx="5">
                  <c:v>22.216192605833331</c:v>
                </c:pt>
              </c:numCache>
            </c:numRef>
          </c:val>
          <c:smooth val="0"/>
          <c:extLst>
            <c:ext xmlns:c16="http://schemas.microsoft.com/office/drawing/2014/chart" uri="{C3380CC4-5D6E-409C-BE32-E72D297353CC}">
              <c16:uniqueId val="{00000000-1DCC-417E-BA23-FC31066CCF32}"/>
            </c:ext>
          </c:extLst>
        </c:ser>
        <c:dLbls>
          <c:showLegendKey val="0"/>
          <c:showVal val="0"/>
          <c:showCatName val="0"/>
          <c:showSerName val="0"/>
          <c:showPercent val="0"/>
          <c:showBubbleSize val="0"/>
        </c:dLbls>
        <c:marker val="1"/>
        <c:smooth val="0"/>
        <c:axId val="526823208"/>
        <c:axId val="526820328"/>
      </c:lineChart>
      <c:catAx>
        <c:axId val="526823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26820328"/>
        <c:crosses val="autoZero"/>
        <c:auto val="1"/>
        <c:lblAlgn val="ctr"/>
        <c:lblOffset val="100"/>
        <c:noMultiLvlLbl val="0"/>
      </c:catAx>
      <c:valAx>
        <c:axId val="5268203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26823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[Lifestyle &amp; health Proj1.3.xlsm]PivotTable!PivotTable3</c:name>
    <c:fmtId val="8"/>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sz="1100">
                <a:solidFill>
                  <a:sysClr val="windowText" lastClr="000000"/>
                </a:solidFill>
              </a:rPr>
              <a:t>PHYSICAL ACTIVITY VS HEALTH ISSUES</a:t>
            </a:r>
          </a:p>
        </c:rich>
      </c:tx>
      <c:layout>
        <c:manualLayout>
          <c:xMode val="edge"/>
          <c:yMode val="edge"/>
          <c:x val="0.23753455818022748"/>
          <c:y val="0.12397929425488481"/>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955846347067975E-2"/>
          <c:y val="0.25096998563016565"/>
          <c:w val="0.5528635170603674"/>
          <c:h val="0.55468832020997372"/>
        </c:manualLayout>
      </c:layout>
      <c:barChart>
        <c:barDir val="col"/>
        <c:grouping val="stacked"/>
        <c:varyColors val="0"/>
        <c:ser>
          <c:idx val="0"/>
          <c:order val="0"/>
          <c:tx>
            <c:strRef>
              <c:f>PivotTable!$B$11:$B$12</c:f>
              <c:strCache>
                <c:ptCount val="1"/>
                <c:pt idx="0">
                  <c:v> Stress/Anxiety,Insomnia (Poor sleep)</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PivotTable!$A$13:$A$17</c:f>
              <c:strCache>
                <c:ptCount val="5"/>
                <c:pt idx="0">
                  <c:v>1-2 days</c:v>
                </c:pt>
                <c:pt idx="1">
                  <c:v>3-4 days</c:v>
                </c:pt>
                <c:pt idx="2">
                  <c:v>5-6 days</c:v>
                </c:pt>
                <c:pt idx="3">
                  <c:v>Daily</c:v>
                </c:pt>
                <c:pt idx="4">
                  <c:v>Never</c:v>
                </c:pt>
              </c:strCache>
            </c:strRef>
          </c:cat>
          <c:val>
            <c:numRef>
              <c:f>PivotTable!$B$13:$B$17</c:f>
              <c:numCache>
                <c:formatCode>General</c:formatCode>
                <c:ptCount val="5"/>
                <c:pt idx="4">
                  <c:v>2</c:v>
                </c:pt>
              </c:numCache>
            </c:numRef>
          </c:val>
          <c:extLst>
            <c:ext xmlns:c16="http://schemas.microsoft.com/office/drawing/2014/chart" uri="{C3380CC4-5D6E-409C-BE32-E72D297353CC}">
              <c16:uniqueId val="{00000000-6A0B-4737-93C2-4E30E990A3B2}"/>
            </c:ext>
          </c:extLst>
        </c:ser>
        <c:ser>
          <c:idx val="1"/>
          <c:order val="1"/>
          <c:tx>
            <c:strRef>
              <c:f>PivotTable!$C$11:$C$12</c:f>
              <c:strCache>
                <c:ptCount val="1"/>
                <c:pt idx="0">
                  <c:v>Digestive problems (acidity, constipation, bloating, etc)</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cat>
            <c:strRef>
              <c:f>PivotTable!$A$13:$A$17</c:f>
              <c:strCache>
                <c:ptCount val="5"/>
                <c:pt idx="0">
                  <c:v>1-2 days</c:v>
                </c:pt>
                <c:pt idx="1">
                  <c:v>3-4 days</c:v>
                </c:pt>
                <c:pt idx="2">
                  <c:v>5-6 days</c:v>
                </c:pt>
                <c:pt idx="3">
                  <c:v>Daily</c:v>
                </c:pt>
                <c:pt idx="4">
                  <c:v>Never</c:v>
                </c:pt>
              </c:strCache>
            </c:strRef>
          </c:cat>
          <c:val>
            <c:numRef>
              <c:f>PivotTable!$C$13:$C$17</c:f>
              <c:numCache>
                <c:formatCode>General</c:formatCode>
                <c:ptCount val="5"/>
                <c:pt idx="1">
                  <c:v>1</c:v>
                </c:pt>
                <c:pt idx="3">
                  <c:v>9</c:v>
                </c:pt>
                <c:pt idx="4">
                  <c:v>4</c:v>
                </c:pt>
              </c:numCache>
            </c:numRef>
          </c:val>
          <c:extLst>
            <c:ext xmlns:c16="http://schemas.microsoft.com/office/drawing/2014/chart" uri="{C3380CC4-5D6E-409C-BE32-E72D297353CC}">
              <c16:uniqueId val="{00000045-ED6F-4046-BE9B-4DCA2EF6E806}"/>
            </c:ext>
          </c:extLst>
        </c:ser>
        <c:ser>
          <c:idx val="2"/>
          <c:order val="2"/>
          <c:tx>
            <c:strRef>
              <c:f>PivotTable!$D$11:$D$12</c:f>
              <c:strCache>
                <c:ptCount val="1"/>
                <c:pt idx="0">
                  <c:v>Digestive problems (acidity, constipation, bloating, etc), Low immunity (fall sick often)</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cat>
            <c:strRef>
              <c:f>PivotTable!$A$13:$A$17</c:f>
              <c:strCache>
                <c:ptCount val="5"/>
                <c:pt idx="0">
                  <c:v>1-2 days</c:v>
                </c:pt>
                <c:pt idx="1">
                  <c:v>3-4 days</c:v>
                </c:pt>
                <c:pt idx="2">
                  <c:v>5-6 days</c:v>
                </c:pt>
                <c:pt idx="3">
                  <c:v>Daily</c:v>
                </c:pt>
                <c:pt idx="4">
                  <c:v>Never</c:v>
                </c:pt>
              </c:strCache>
            </c:strRef>
          </c:cat>
          <c:val>
            <c:numRef>
              <c:f>PivotTable!$D$13:$D$17</c:f>
              <c:numCache>
                <c:formatCode>General</c:formatCode>
                <c:ptCount val="5"/>
                <c:pt idx="4">
                  <c:v>2</c:v>
                </c:pt>
              </c:numCache>
            </c:numRef>
          </c:val>
          <c:extLst>
            <c:ext xmlns:c16="http://schemas.microsoft.com/office/drawing/2014/chart" uri="{C3380CC4-5D6E-409C-BE32-E72D297353CC}">
              <c16:uniqueId val="{00000046-ED6F-4046-BE9B-4DCA2EF6E806}"/>
            </c:ext>
          </c:extLst>
        </c:ser>
        <c:ser>
          <c:idx val="3"/>
          <c:order val="3"/>
          <c:tx>
            <c:strRef>
              <c:f>PivotTable!$E$11:$E$12</c:f>
              <c:strCache>
                <c:ptCount val="1"/>
                <c:pt idx="0">
                  <c:v>Fatigue (Frequent tiredness)</c:v>
                </c:pt>
              </c:strCache>
            </c:strRef>
          </c:tx>
          <c:spPr>
            <a:pattFill prst="narHorz">
              <a:fgClr>
                <a:schemeClr val="accent6">
                  <a:lumMod val="60000"/>
                </a:schemeClr>
              </a:fgClr>
              <a:bgClr>
                <a:schemeClr val="accent6">
                  <a:lumMod val="60000"/>
                  <a:lumMod val="20000"/>
                  <a:lumOff val="80000"/>
                </a:schemeClr>
              </a:bgClr>
            </a:pattFill>
            <a:ln>
              <a:noFill/>
            </a:ln>
            <a:effectLst>
              <a:innerShdw blurRad="114300">
                <a:schemeClr val="accent6">
                  <a:lumMod val="6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PivotTable!$E$13:$E$17</c:f>
              <c:numCache>
                <c:formatCode>General</c:formatCode>
                <c:ptCount val="5"/>
                <c:pt idx="1">
                  <c:v>2</c:v>
                </c:pt>
                <c:pt idx="3">
                  <c:v>1</c:v>
                </c:pt>
              </c:numCache>
            </c:numRef>
          </c:val>
          <c:extLst>
            <c:ext xmlns:c16="http://schemas.microsoft.com/office/drawing/2014/chart" uri="{C3380CC4-5D6E-409C-BE32-E72D297353CC}">
              <c16:uniqueId val="{00000047-ED6F-4046-BE9B-4DCA2EF6E806}"/>
            </c:ext>
          </c:extLst>
        </c:ser>
        <c:ser>
          <c:idx val="4"/>
          <c:order val="4"/>
          <c:tx>
            <c:strRef>
              <c:f>PivotTable!$F$11:$F$12</c:f>
              <c:strCache>
                <c:ptCount val="1"/>
                <c:pt idx="0">
                  <c:v>Fatigue (Frequent tiredness), Low immunity (fall sick often)</c:v>
                </c:pt>
              </c:strCache>
            </c:strRef>
          </c:tx>
          <c:spPr>
            <a:pattFill prst="narHorz">
              <a:fgClr>
                <a:schemeClr val="accent5">
                  <a:lumMod val="60000"/>
                </a:schemeClr>
              </a:fgClr>
              <a:bgClr>
                <a:schemeClr val="accent5">
                  <a:lumMod val="60000"/>
                  <a:lumMod val="20000"/>
                  <a:lumOff val="80000"/>
                </a:schemeClr>
              </a:bgClr>
            </a:pattFill>
            <a:ln>
              <a:noFill/>
            </a:ln>
            <a:effectLst>
              <a:innerShdw blurRad="114300">
                <a:schemeClr val="accent5">
                  <a:lumMod val="6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PivotTable!$F$13:$F$17</c:f>
              <c:numCache>
                <c:formatCode>General</c:formatCode>
                <c:ptCount val="5"/>
                <c:pt idx="0">
                  <c:v>2</c:v>
                </c:pt>
              </c:numCache>
            </c:numRef>
          </c:val>
          <c:extLst>
            <c:ext xmlns:c16="http://schemas.microsoft.com/office/drawing/2014/chart" uri="{C3380CC4-5D6E-409C-BE32-E72D297353CC}">
              <c16:uniqueId val="{00000048-ED6F-4046-BE9B-4DCA2EF6E806}"/>
            </c:ext>
          </c:extLst>
        </c:ser>
        <c:ser>
          <c:idx val="5"/>
          <c:order val="5"/>
          <c:tx>
            <c:strRef>
              <c:f>PivotTable!$G$11:$G$12</c:f>
              <c:strCache>
                <c:ptCount val="1"/>
                <c:pt idx="0">
                  <c:v>Fatigue (Frequent tiredness), Stress or Anxiety</c:v>
                </c:pt>
              </c:strCache>
            </c:strRef>
          </c:tx>
          <c:spPr>
            <a:pattFill prst="narHorz">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PivotTable!$G$13:$G$17</c:f>
              <c:numCache>
                <c:formatCode>General</c:formatCode>
                <c:ptCount val="5"/>
                <c:pt idx="1">
                  <c:v>1</c:v>
                </c:pt>
                <c:pt idx="3">
                  <c:v>1</c:v>
                </c:pt>
              </c:numCache>
            </c:numRef>
          </c:val>
          <c:extLst>
            <c:ext xmlns:c16="http://schemas.microsoft.com/office/drawing/2014/chart" uri="{C3380CC4-5D6E-409C-BE32-E72D297353CC}">
              <c16:uniqueId val="{00000049-ED6F-4046-BE9B-4DCA2EF6E806}"/>
            </c:ext>
          </c:extLst>
        </c:ser>
        <c:ser>
          <c:idx val="6"/>
          <c:order val="6"/>
          <c:tx>
            <c:strRef>
              <c:f>PivotTable!$H$11:$H$12</c:f>
              <c:strCache>
                <c:ptCount val="1"/>
                <c:pt idx="0">
                  <c:v>Insomnia (Poor sleep)</c:v>
                </c:pt>
              </c:strCache>
            </c:strRef>
          </c:tx>
          <c:spPr>
            <a:pattFill prst="narHorz">
              <a:fgClr>
                <a:schemeClr val="accent6">
                  <a:lumMod val="80000"/>
                  <a:lumOff val="20000"/>
                </a:schemeClr>
              </a:fgClr>
              <a:bgClr>
                <a:schemeClr val="accent6">
                  <a:lumMod val="80000"/>
                  <a:lumOff val="20000"/>
                  <a:lumMod val="20000"/>
                  <a:lumOff val="80000"/>
                </a:schemeClr>
              </a:bgClr>
            </a:pattFill>
            <a:ln>
              <a:noFill/>
            </a:ln>
            <a:effectLst>
              <a:innerShdw blurRad="114300">
                <a:schemeClr val="accent6">
                  <a:lumMod val="80000"/>
                  <a:lumOff val="2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PivotTable!$H$13:$H$17</c:f>
              <c:numCache>
                <c:formatCode>General</c:formatCode>
                <c:ptCount val="5"/>
                <c:pt idx="0">
                  <c:v>2</c:v>
                </c:pt>
                <c:pt idx="1">
                  <c:v>2</c:v>
                </c:pt>
                <c:pt idx="2">
                  <c:v>1</c:v>
                </c:pt>
                <c:pt idx="3">
                  <c:v>7</c:v>
                </c:pt>
                <c:pt idx="4">
                  <c:v>3</c:v>
                </c:pt>
              </c:numCache>
            </c:numRef>
          </c:val>
          <c:extLst>
            <c:ext xmlns:c16="http://schemas.microsoft.com/office/drawing/2014/chart" uri="{C3380CC4-5D6E-409C-BE32-E72D297353CC}">
              <c16:uniqueId val="{0000004A-ED6F-4046-BE9B-4DCA2EF6E806}"/>
            </c:ext>
          </c:extLst>
        </c:ser>
        <c:ser>
          <c:idx val="7"/>
          <c:order val="7"/>
          <c:tx>
            <c:strRef>
              <c:f>PivotTable!$I$11:$I$12</c:f>
              <c:strCache>
                <c:ptCount val="1"/>
                <c:pt idx="0">
                  <c:v>Insomnia (Poor sleep), Digestive problems (acidity, constipation, bloating, etc)</c:v>
                </c:pt>
              </c:strCache>
            </c:strRef>
          </c:tx>
          <c:spPr>
            <a:pattFill prst="narHorz">
              <a:fgClr>
                <a:schemeClr val="accent5">
                  <a:lumMod val="80000"/>
                  <a:lumOff val="20000"/>
                </a:schemeClr>
              </a:fgClr>
              <a:bgClr>
                <a:schemeClr val="accent5">
                  <a:lumMod val="80000"/>
                  <a:lumOff val="20000"/>
                  <a:lumMod val="20000"/>
                  <a:lumOff val="80000"/>
                </a:schemeClr>
              </a:bgClr>
            </a:pattFill>
            <a:ln>
              <a:noFill/>
            </a:ln>
            <a:effectLst>
              <a:innerShdw blurRad="114300">
                <a:schemeClr val="accent5">
                  <a:lumMod val="80000"/>
                  <a:lumOff val="2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PivotTable!$I$13:$I$17</c:f>
              <c:numCache>
                <c:formatCode>General</c:formatCode>
                <c:ptCount val="5"/>
                <c:pt idx="0">
                  <c:v>1</c:v>
                </c:pt>
              </c:numCache>
            </c:numRef>
          </c:val>
          <c:extLst>
            <c:ext xmlns:c16="http://schemas.microsoft.com/office/drawing/2014/chart" uri="{C3380CC4-5D6E-409C-BE32-E72D297353CC}">
              <c16:uniqueId val="{0000004B-ED6F-4046-BE9B-4DCA2EF6E806}"/>
            </c:ext>
          </c:extLst>
        </c:ser>
        <c:ser>
          <c:idx val="8"/>
          <c:order val="8"/>
          <c:tx>
            <c:strRef>
              <c:f>PivotTable!$J$11:$J$12</c:f>
              <c:strCache>
                <c:ptCount val="1"/>
                <c:pt idx="0">
                  <c:v>Insomnia (Poor sleep), Stress or Anxiety, Digestive problems (acidity, constipation, bloating, etc)</c:v>
                </c:pt>
              </c:strCache>
            </c:strRef>
          </c:tx>
          <c:spPr>
            <a:pattFill prst="narHorz">
              <a:fgClr>
                <a:schemeClr val="accent4">
                  <a:lumMod val="80000"/>
                  <a:lumOff val="20000"/>
                </a:schemeClr>
              </a:fgClr>
              <a:bgClr>
                <a:schemeClr val="accent4">
                  <a:lumMod val="80000"/>
                  <a:lumOff val="20000"/>
                  <a:lumMod val="20000"/>
                  <a:lumOff val="80000"/>
                </a:schemeClr>
              </a:bgClr>
            </a:pattFill>
            <a:ln>
              <a:noFill/>
            </a:ln>
            <a:effectLst>
              <a:innerShdw blurRad="114300">
                <a:schemeClr val="accent4">
                  <a:lumMod val="80000"/>
                  <a:lumOff val="2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PivotTable!$J$13:$J$17</c:f>
              <c:numCache>
                <c:formatCode>General</c:formatCode>
                <c:ptCount val="5"/>
                <c:pt idx="0">
                  <c:v>1</c:v>
                </c:pt>
                <c:pt idx="4">
                  <c:v>1</c:v>
                </c:pt>
              </c:numCache>
            </c:numRef>
          </c:val>
          <c:extLst>
            <c:ext xmlns:c16="http://schemas.microsoft.com/office/drawing/2014/chart" uri="{C3380CC4-5D6E-409C-BE32-E72D297353CC}">
              <c16:uniqueId val="{0000004C-ED6F-4046-BE9B-4DCA2EF6E806}"/>
            </c:ext>
          </c:extLst>
        </c:ser>
        <c:ser>
          <c:idx val="9"/>
          <c:order val="9"/>
          <c:tx>
            <c:strRef>
              <c:f>PivotTable!$K$11:$K$12</c:f>
              <c:strCache>
                <c:ptCount val="1"/>
                <c:pt idx="0">
                  <c:v>Insomnia (Poor sleep),Low immunity (fall sick often)</c:v>
                </c:pt>
              </c:strCache>
            </c:strRef>
          </c:tx>
          <c:spPr>
            <a:pattFill prst="narHorz">
              <a:fgClr>
                <a:schemeClr val="accent6">
                  <a:lumMod val="80000"/>
                </a:schemeClr>
              </a:fgClr>
              <a:bgClr>
                <a:schemeClr val="accent6">
                  <a:lumMod val="80000"/>
                  <a:lumMod val="20000"/>
                  <a:lumOff val="80000"/>
                </a:schemeClr>
              </a:bgClr>
            </a:pattFill>
            <a:ln>
              <a:noFill/>
            </a:ln>
            <a:effectLst>
              <a:innerShdw blurRad="114300">
                <a:schemeClr val="accent6">
                  <a:lumMod val="8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PivotTable!$K$13:$K$17</c:f>
              <c:numCache>
                <c:formatCode>General</c:formatCode>
                <c:ptCount val="5"/>
                <c:pt idx="0">
                  <c:v>2</c:v>
                </c:pt>
              </c:numCache>
            </c:numRef>
          </c:val>
          <c:extLst>
            <c:ext xmlns:c16="http://schemas.microsoft.com/office/drawing/2014/chart" uri="{C3380CC4-5D6E-409C-BE32-E72D297353CC}">
              <c16:uniqueId val="{0000004D-ED6F-4046-BE9B-4DCA2EF6E806}"/>
            </c:ext>
          </c:extLst>
        </c:ser>
        <c:ser>
          <c:idx val="10"/>
          <c:order val="10"/>
          <c:tx>
            <c:strRef>
              <c:f>PivotTable!$L$11:$L$12</c:f>
              <c:strCache>
                <c:ptCount val="1"/>
                <c:pt idx="0">
                  <c:v>Low immunity (fall sick often)</c:v>
                </c:pt>
              </c:strCache>
            </c:strRef>
          </c:tx>
          <c:spPr>
            <a:pattFill prst="narHorz">
              <a:fgClr>
                <a:schemeClr val="accent5">
                  <a:lumMod val="80000"/>
                </a:schemeClr>
              </a:fgClr>
              <a:bgClr>
                <a:schemeClr val="accent5">
                  <a:lumMod val="80000"/>
                  <a:lumMod val="20000"/>
                  <a:lumOff val="80000"/>
                </a:schemeClr>
              </a:bgClr>
            </a:pattFill>
            <a:ln>
              <a:noFill/>
            </a:ln>
            <a:effectLst>
              <a:innerShdw blurRad="114300">
                <a:schemeClr val="accent5">
                  <a:lumMod val="8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PivotTable!$L$13:$L$17</c:f>
              <c:numCache>
                <c:formatCode>General</c:formatCode>
                <c:ptCount val="5"/>
                <c:pt idx="0">
                  <c:v>8</c:v>
                </c:pt>
                <c:pt idx="1">
                  <c:v>3</c:v>
                </c:pt>
                <c:pt idx="2">
                  <c:v>1</c:v>
                </c:pt>
                <c:pt idx="3">
                  <c:v>5</c:v>
                </c:pt>
                <c:pt idx="4">
                  <c:v>2</c:v>
                </c:pt>
              </c:numCache>
            </c:numRef>
          </c:val>
          <c:extLst>
            <c:ext xmlns:c16="http://schemas.microsoft.com/office/drawing/2014/chart" uri="{C3380CC4-5D6E-409C-BE32-E72D297353CC}">
              <c16:uniqueId val="{0000004E-ED6F-4046-BE9B-4DCA2EF6E806}"/>
            </c:ext>
          </c:extLst>
        </c:ser>
        <c:ser>
          <c:idx val="11"/>
          <c:order val="11"/>
          <c:tx>
            <c:strRef>
              <c:f>PivotTable!$M$11:$M$12</c:f>
              <c:strCache>
                <c:ptCount val="1"/>
                <c:pt idx="0">
                  <c:v>Low immunity (fall sick often), Other</c:v>
                </c:pt>
              </c:strCache>
            </c:strRef>
          </c:tx>
          <c:spPr>
            <a:pattFill prst="narHorz">
              <a:fgClr>
                <a:schemeClr val="accent4">
                  <a:lumMod val="80000"/>
                </a:schemeClr>
              </a:fgClr>
              <a:bgClr>
                <a:schemeClr val="accent4">
                  <a:lumMod val="80000"/>
                  <a:lumMod val="20000"/>
                  <a:lumOff val="80000"/>
                </a:schemeClr>
              </a:bgClr>
            </a:pattFill>
            <a:ln>
              <a:noFill/>
            </a:ln>
            <a:effectLst>
              <a:innerShdw blurRad="114300">
                <a:schemeClr val="accent4">
                  <a:lumMod val="8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PivotTable!$M$13:$M$17</c:f>
              <c:numCache>
                <c:formatCode>General</c:formatCode>
                <c:ptCount val="5"/>
                <c:pt idx="4">
                  <c:v>2</c:v>
                </c:pt>
              </c:numCache>
            </c:numRef>
          </c:val>
          <c:extLst>
            <c:ext xmlns:c16="http://schemas.microsoft.com/office/drawing/2014/chart" uri="{C3380CC4-5D6E-409C-BE32-E72D297353CC}">
              <c16:uniqueId val="{0000004F-ED6F-4046-BE9B-4DCA2EF6E806}"/>
            </c:ext>
          </c:extLst>
        </c:ser>
        <c:ser>
          <c:idx val="12"/>
          <c:order val="12"/>
          <c:tx>
            <c:strRef>
              <c:f>PivotTable!$N$11:$N$12</c:f>
              <c:strCache>
                <c:ptCount val="1"/>
                <c:pt idx="0">
                  <c:v>None</c:v>
                </c:pt>
              </c:strCache>
            </c:strRef>
          </c:tx>
          <c:spPr>
            <a:pattFill prst="narHorz">
              <a:fgClr>
                <a:schemeClr val="accent6">
                  <a:lumMod val="60000"/>
                  <a:lumOff val="40000"/>
                </a:schemeClr>
              </a:fgClr>
              <a:bgClr>
                <a:schemeClr val="accent6">
                  <a:lumMod val="60000"/>
                  <a:lumOff val="40000"/>
                  <a:lumMod val="20000"/>
                  <a:lumOff val="80000"/>
                </a:schemeClr>
              </a:bgClr>
            </a:pattFill>
            <a:ln>
              <a:noFill/>
            </a:ln>
            <a:effectLst>
              <a:innerShdw blurRad="114300">
                <a:schemeClr val="accent6">
                  <a:lumMod val="60000"/>
                  <a:lumOff val="4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PivotTable!$N$13:$N$17</c:f>
              <c:numCache>
                <c:formatCode>General</c:formatCode>
                <c:ptCount val="5"/>
                <c:pt idx="0">
                  <c:v>9</c:v>
                </c:pt>
                <c:pt idx="1">
                  <c:v>1</c:v>
                </c:pt>
                <c:pt idx="2">
                  <c:v>12</c:v>
                </c:pt>
                <c:pt idx="3">
                  <c:v>18</c:v>
                </c:pt>
                <c:pt idx="4">
                  <c:v>1</c:v>
                </c:pt>
              </c:numCache>
            </c:numRef>
          </c:val>
          <c:extLst>
            <c:ext xmlns:c16="http://schemas.microsoft.com/office/drawing/2014/chart" uri="{C3380CC4-5D6E-409C-BE32-E72D297353CC}">
              <c16:uniqueId val="{00000050-ED6F-4046-BE9B-4DCA2EF6E806}"/>
            </c:ext>
          </c:extLst>
        </c:ser>
        <c:ser>
          <c:idx val="13"/>
          <c:order val="13"/>
          <c:tx>
            <c:strRef>
              <c:f>PivotTable!$O$11:$O$12</c:f>
              <c:strCache>
                <c:ptCount val="1"/>
                <c:pt idx="0">
                  <c:v>Other, Digestive problems (acidity, constipation, bloating, etc)</c:v>
                </c:pt>
              </c:strCache>
            </c:strRef>
          </c:tx>
          <c:spPr>
            <a:pattFill prst="narHorz">
              <a:fgClr>
                <a:schemeClr val="accent5">
                  <a:lumMod val="60000"/>
                  <a:lumOff val="40000"/>
                </a:schemeClr>
              </a:fgClr>
              <a:bgClr>
                <a:schemeClr val="accent5">
                  <a:lumMod val="60000"/>
                  <a:lumOff val="40000"/>
                  <a:lumMod val="20000"/>
                  <a:lumOff val="80000"/>
                </a:schemeClr>
              </a:bgClr>
            </a:pattFill>
            <a:ln>
              <a:noFill/>
            </a:ln>
            <a:effectLst>
              <a:innerShdw blurRad="114300">
                <a:schemeClr val="accent5">
                  <a:lumMod val="60000"/>
                  <a:lumOff val="4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PivotTable!$O$13:$O$17</c:f>
              <c:numCache>
                <c:formatCode>General</c:formatCode>
                <c:ptCount val="5"/>
                <c:pt idx="4">
                  <c:v>3</c:v>
                </c:pt>
              </c:numCache>
            </c:numRef>
          </c:val>
          <c:extLst>
            <c:ext xmlns:c16="http://schemas.microsoft.com/office/drawing/2014/chart" uri="{C3380CC4-5D6E-409C-BE32-E72D297353CC}">
              <c16:uniqueId val="{00000051-ED6F-4046-BE9B-4DCA2EF6E806}"/>
            </c:ext>
          </c:extLst>
        </c:ser>
        <c:ser>
          <c:idx val="14"/>
          <c:order val="14"/>
          <c:tx>
            <c:strRef>
              <c:f>PivotTable!$P$11:$P$12</c:f>
              <c:strCache>
                <c:ptCount val="1"/>
                <c:pt idx="0">
                  <c:v>Other,Insomnia (Poor sleep)</c:v>
                </c:pt>
              </c:strCache>
            </c:strRef>
          </c:tx>
          <c:spPr>
            <a:pattFill prst="narHorz">
              <a:fgClr>
                <a:schemeClr val="accent4">
                  <a:lumMod val="60000"/>
                  <a:lumOff val="40000"/>
                </a:schemeClr>
              </a:fgClr>
              <a:bgClr>
                <a:schemeClr val="accent4">
                  <a:lumMod val="60000"/>
                  <a:lumOff val="40000"/>
                  <a:lumMod val="20000"/>
                  <a:lumOff val="80000"/>
                </a:schemeClr>
              </a:bgClr>
            </a:pattFill>
            <a:ln>
              <a:noFill/>
            </a:ln>
            <a:effectLst>
              <a:innerShdw blurRad="114300">
                <a:schemeClr val="accent4">
                  <a:lumMod val="60000"/>
                  <a:lumOff val="4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PivotTable!$P$13:$P$17</c:f>
              <c:numCache>
                <c:formatCode>General</c:formatCode>
                <c:ptCount val="5"/>
                <c:pt idx="0">
                  <c:v>2</c:v>
                </c:pt>
              </c:numCache>
            </c:numRef>
          </c:val>
          <c:extLst>
            <c:ext xmlns:c16="http://schemas.microsoft.com/office/drawing/2014/chart" uri="{C3380CC4-5D6E-409C-BE32-E72D297353CC}">
              <c16:uniqueId val="{00000052-ED6F-4046-BE9B-4DCA2EF6E806}"/>
            </c:ext>
          </c:extLst>
        </c:ser>
        <c:ser>
          <c:idx val="15"/>
          <c:order val="15"/>
          <c:tx>
            <c:strRef>
              <c:f>PivotTable!$Q$11:$Q$12</c:f>
              <c:strCache>
                <c:ptCount val="1"/>
                <c:pt idx="0">
                  <c:v>Stress or Anxiety</c:v>
                </c:pt>
              </c:strCache>
            </c:strRef>
          </c:tx>
          <c:spPr>
            <a:pattFill prst="narHorz">
              <a:fgClr>
                <a:schemeClr val="accent6">
                  <a:lumMod val="50000"/>
                </a:schemeClr>
              </a:fgClr>
              <a:bgClr>
                <a:schemeClr val="accent6">
                  <a:lumMod val="50000"/>
                  <a:lumMod val="20000"/>
                  <a:lumOff val="80000"/>
                </a:schemeClr>
              </a:bgClr>
            </a:pattFill>
            <a:ln>
              <a:noFill/>
            </a:ln>
            <a:effectLst>
              <a:innerShdw blurRad="114300">
                <a:schemeClr val="accent6">
                  <a:lumMod val="5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PivotTable!$Q$13:$Q$17</c:f>
              <c:numCache>
                <c:formatCode>General</c:formatCode>
                <c:ptCount val="5"/>
                <c:pt idx="1">
                  <c:v>2</c:v>
                </c:pt>
                <c:pt idx="2">
                  <c:v>3</c:v>
                </c:pt>
                <c:pt idx="3">
                  <c:v>5</c:v>
                </c:pt>
                <c:pt idx="4">
                  <c:v>1</c:v>
                </c:pt>
              </c:numCache>
            </c:numRef>
          </c:val>
          <c:extLst>
            <c:ext xmlns:c16="http://schemas.microsoft.com/office/drawing/2014/chart" uri="{C3380CC4-5D6E-409C-BE32-E72D297353CC}">
              <c16:uniqueId val="{00000053-ED6F-4046-BE9B-4DCA2EF6E806}"/>
            </c:ext>
          </c:extLst>
        </c:ser>
        <c:ser>
          <c:idx val="16"/>
          <c:order val="16"/>
          <c:tx>
            <c:strRef>
              <c:f>PivotTable!$R$11:$R$12</c:f>
              <c:strCache>
                <c:ptCount val="1"/>
                <c:pt idx="0">
                  <c:v>Stress or Anxiety, Digestive problems (acidity, constipation, bloating, etc)</c:v>
                </c:pt>
              </c:strCache>
            </c:strRef>
          </c:tx>
          <c:spPr>
            <a:pattFill prst="narHorz">
              <a:fgClr>
                <a:schemeClr val="accent5">
                  <a:lumMod val="50000"/>
                </a:schemeClr>
              </a:fgClr>
              <a:bgClr>
                <a:schemeClr val="accent5">
                  <a:lumMod val="50000"/>
                  <a:lumMod val="20000"/>
                  <a:lumOff val="80000"/>
                </a:schemeClr>
              </a:bgClr>
            </a:pattFill>
            <a:ln>
              <a:noFill/>
            </a:ln>
            <a:effectLst>
              <a:innerShdw blurRad="114300">
                <a:schemeClr val="accent5">
                  <a:lumMod val="50000"/>
                </a:schemeClr>
              </a:innerShdw>
            </a:effectLst>
          </c:spPr>
          <c:invertIfNegative val="0"/>
          <c:cat>
            <c:strRef>
              <c:f>PivotTable!$A$13:$A$17</c:f>
              <c:strCache>
                <c:ptCount val="5"/>
                <c:pt idx="0">
                  <c:v>1-2 days</c:v>
                </c:pt>
                <c:pt idx="1">
                  <c:v>3-4 days</c:v>
                </c:pt>
                <c:pt idx="2">
                  <c:v>5-6 days</c:v>
                </c:pt>
                <c:pt idx="3">
                  <c:v>Daily</c:v>
                </c:pt>
                <c:pt idx="4">
                  <c:v>Never</c:v>
                </c:pt>
              </c:strCache>
            </c:strRef>
          </c:cat>
          <c:val>
            <c:numRef>
              <c:f>PivotTable!$R$13:$R$17</c:f>
              <c:numCache>
                <c:formatCode>General</c:formatCode>
                <c:ptCount val="5"/>
                <c:pt idx="1">
                  <c:v>3</c:v>
                </c:pt>
              </c:numCache>
            </c:numRef>
          </c:val>
          <c:extLst>
            <c:ext xmlns:c16="http://schemas.microsoft.com/office/drawing/2014/chart" uri="{C3380CC4-5D6E-409C-BE32-E72D297353CC}">
              <c16:uniqueId val="{00000054-ED6F-4046-BE9B-4DCA2EF6E806}"/>
            </c:ext>
          </c:extLst>
        </c:ser>
        <c:dLbls>
          <c:showLegendKey val="0"/>
          <c:showVal val="0"/>
          <c:showCatName val="0"/>
          <c:showSerName val="0"/>
          <c:showPercent val="0"/>
          <c:showBubbleSize val="0"/>
        </c:dLbls>
        <c:gapWidth val="150"/>
        <c:overlap val="100"/>
        <c:axId val="977053384"/>
        <c:axId val="977047624"/>
      </c:barChart>
      <c:catAx>
        <c:axId val="97705338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7047624"/>
        <c:crosses val="autoZero"/>
        <c:auto val="1"/>
        <c:lblAlgn val="ctr"/>
        <c:lblOffset val="100"/>
        <c:noMultiLvlLbl val="0"/>
      </c:catAx>
      <c:valAx>
        <c:axId val="9770476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7053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[Lifestyle &amp; health Proj1.3.xlsm]PivotTable!PivotTable4</c:name>
    <c:fmtId val="2"/>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IN" sz="1100" b="1">
                <a:solidFill>
                  <a:sysClr val="windowText" lastClr="000000"/>
                </a:solidFill>
              </a:rPr>
              <a:t>SLEEP DURATION VS HEALTH ISSUES</a:t>
            </a:r>
          </a:p>
        </c:rich>
      </c:tx>
      <c:layout>
        <c:manualLayout>
          <c:xMode val="edge"/>
          <c:yMode val="edge"/>
          <c:x val="0.27054855643044617"/>
          <c:y val="0.11009040536599592"/>
        </c:manualLayout>
      </c:layout>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PivotTable!$B$23:$B$24</c:f>
              <c:strCache>
                <c:ptCount val="1"/>
                <c:pt idx="0">
                  <c:v> Fatigue (Frequent tiredness)</c:v>
                </c:pt>
              </c:strCache>
            </c:strRef>
          </c:tx>
          <c:spPr>
            <a:noFill/>
            <a:ln w="25400" cap="flat" cmpd="sng" algn="ctr">
              <a:solidFill>
                <a:schemeClr val="accent2"/>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PivotTable!$B$25:$B$28</c:f>
              <c:numCache>
                <c:formatCode>General</c:formatCode>
                <c:ptCount val="4"/>
                <c:pt idx="0">
                  <c:v>2</c:v>
                </c:pt>
              </c:numCache>
            </c:numRef>
          </c:val>
          <c:extLst>
            <c:ext xmlns:c16="http://schemas.microsoft.com/office/drawing/2014/chart" uri="{C3380CC4-5D6E-409C-BE32-E72D297353CC}">
              <c16:uniqueId val="{00000000-C0E5-4C46-A13A-ABF1D75731B3}"/>
            </c:ext>
          </c:extLst>
        </c:ser>
        <c:ser>
          <c:idx val="1"/>
          <c:order val="1"/>
          <c:tx>
            <c:strRef>
              <c:f>PivotTable!$C$23:$C$24</c:f>
              <c:strCache>
                <c:ptCount val="1"/>
                <c:pt idx="0">
                  <c:v> Stress/Anxiety,Insomnia (Poor sleep)</c:v>
                </c:pt>
              </c:strCache>
            </c:strRef>
          </c:tx>
          <c:spPr>
            <a:noFill/>
            <a:ln w="25400" cap="flat" cmpd="sng" algn="ctr">
              <a:solidFill>
                <a:schemeClr val="accent4"/>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PivotTable!$C$25:$C$28</c:f>
              <c:numCache>
                <c:formatCode>General</c:formatCode>
                <c:ptCount val="4"/>
                <c:pt idx="0">
                  <c:v>2</c:v>
                </c:pt>
              </c:numCache>
            </c:numRef>
          </c:val>
          <c:extLst>
            <c:ext xmlns:c16="http://schemas.microsoft.com/office/drawing/2014/chart" uri="{C3380CC4-5D6E-409C-BE32-E72D297353CC}">
              <c16:uniqueId val="{0000004A-A298-4063-91FA-0C76B63A728B}"/>
            </c:ext>
          </c:extLst>
        </c:ser>
        <c:ser>
          <c:idx val="2"/>
          <c:order val="2"/>
          <c:tx>
            <c:strRef>
              <c:f>PivotTable!$D$23:$D$24</c:f>
              <c:strCache>
                <c:ptCount val="1"/>
                <c:pt idx="0">
                  <c:v>Digestive problems (acidity, constipation, bloating, etc)</c:v>
                </c:pt>
              </c:strCache>
            </c:strRef>
          </c:tx>
          <c:spPr>
            <a:noFill/>
            <a:ln w="25400" cap="flat" cmpd="sng" algn="ctr">
              <a:solidFill>
                <a:schemeClr val="accent6"/>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PivotTable!$D$25:$D$28</c:f>
              <c:numCache>
                <c:formatCode>General</c:formatCode>
                <c:ptCount val="4"/>
                <c:pt idx="0">
                  <c:v>2</c:v>
                </c:pt>
                <c:pt idx="1">
                  <c:v>9</c:v>
                </c:pt>
                <c:pt idx="3">
                  <c:v>3</c:v>
                </c:pt>
              </c:numCache>
            </c:numRef>
          </c:val>
          <c:extLst>
            <c:ext xmlns:c16="http://schemas.microsoft.com/office/drawing/2014/chart" uri="{C3380CC4-5D6E-409C-BE32-E72D297353CC}">
              <c16:uniqueId val="{0000004B-A298-4063-91FA-0C76B63A728B}"/>
            </c:ext>
          </c:extLst>
        </c:ser>
        <c:ser>
          <c:idx val="3"/>
          <c:order val="3"/>
          <c:tx>
            <c:strRef>
              <c:f>PivotTable!$E$23:$E$24</c:f>
              <c:strCache>
                <c:ptCount val="1"/>
                <c:pt idx="0">
                  <c:v>Digestive problems (acidity, constipation, bloating, etc), Low immunity (fall sick often)</c:v>
                </c:pt>
              </c:strCache>
            </c:strRef>
          </c:tx>
          <c:spPr>
            <a:noFill/>
            <a:ln w="25400" cap="flat" cmpd="sng" algn="ctr">
              <a:solidFill>
                <a:schemeClr val="accent2">
                  <a:lumMod val="6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PivotTable!$E$25:$E$28</c:f>
              <c:numCache>
                <c:formatCode>General</c:formatCode>
                <c:ptCount val="4"/>
                <c:pt idx="0">
                  <c:v>2</c:v>
                </c:pt>
              </c:numCache>
            </c:numRef>
          </c:val>
          <c:extLst>
            <c:ext xmlns:c16="http://schemas.microsoft.com/office/drawing/2014/chart" uri="{C3380CC4-5D6E-409C-BE32-E72D297353CC}">
              <c16:uniqueId val="{0000004C-A298-4063-91FA-0C76B63A728B}"/>
            </c:ext>
          </c:extLst>
        </c:ser>
        <c:ser>
          <c:idx val="4"/>
          <c:order val="4"/>
          <c:tx>
            <c:strRef>
              <c:f>PivotTable!$F$23:$F$24</c:f>
              <c:strCache>
                <c:ptCount val="1"/>
                <c:pt idx="0">
                  <c:v>Fatigue (Frequent tiredness)</c:v>
                </c:pt>
              </c:strCache>
            </c:strRef>
          </c:tx>
          <c:spPr>
            <a:noFill/>
            <a:ln w="25400" cap="flat" cmpd="sng" algn="ctr">
              <a:solidFill>
                <a:schemeClr val="accent4">
                  <a:lumMod val="6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PivotTable!$F$25:$F$28</c:f>
              <c:numCache>
                <c:formatCode>General</c:formatCode>
                <c:ptCount val="4"/>
                <c:pt idx="0">
                  <c:v>1</c:v>
                </c:pt>
                <c:pt idx="1">
                  <c:v>1</c:v>
                </c:pt>
                <c:pt idx="2">
                  <c:v>1</c:v>
                </c:pt>
              </c:numCache>
            </c:numRef>
          </c:val>
          <c:extLst>
            <c:ext xmlns:c16="http://schemas.microsoft.com/office/drawing/2014/chart" uri="{C3380CC4-5D6E-409C-BE32-E72D297353CC}">
              <c16:uniqueId val="{0000004D-A298-4063-91FA-0C76B63A728B}"/>
            </c:ext>
          </c:extLst>
        </c:ser>
        <c:ser>
          <c:idx val="5"/>
          <c:order val="5"/>
          <c:tx>
            <c:strRef>
              <c:f>PivotTable!$G$23:$G$24</c:f>
              <c:strCache>
                <c:ptCount val="1"/>
                <c:pt idx="0">
                  <c:v>Fatigue (Frequent tiredness), Low immunity (fall sick often)</c:v>
                </c:pt>
              </c:strCache>
            </c:strRef>
          </c:tx>
          <c:spPr>
            <a:noFill/>
            <a:ln w="25400" cap="flat" cmpd="sng" algn="ctr">
              <a:solidFill>
                <a:schemeClr val="accent6">
                  <a:lumMod val="6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PivotTable!$G$25:$G$28</c:f>
              <c:numCache>
                <c:formatCode>General</c:formatCode>
                <c:ptCount val="4"/>
                <c:pt idx="0">
                  <c:v>2</c:v>
                </c:pt>
              </c:numCache>
            </c:numRef>
          </c:val>
          <c:extLst>
            <c:ext xmlns:c16="http://schemas.microsoft.com/office/drawing/2014/chart" uri="{C3380CC4-5D6E-409C-BE32-E72D297353CC}">
              <c16:uniqueId val="{0000004E-A298-4063-91FA-0C76B63A728B}"/>
            </c:ext>
          </c:extLst>
        </c:ser>
        <c:ser>
          <c:idx val="6"/>
          <c:order val="6"/>
          <c:tx>
            <c:strRef>
              <c:f>PivotTable!$H$23:$H$24</c:f>
              <c:strCache>
                <c:ptCount val="1"/>
                <c:pt idx="0">
                  <c:v>Fatigue (Frequent tiredness), Stress or Anxiety</c:v>
                </c:pt>
              </c:strCache>
            </c:strRef>
          </c:tx>
          <c:spPr>
            <a:noFill/>
            <a:ln w="25400" cap="flat" cmpd="sng" algn="ctr">
              <a:solidFill>
                <a:schemeClr val="accent2">
                  <a:lumMod val="80000"/>
                  <a:lumOff val="2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PivotTable!$H$25:$H$28</c:f>
              <c:numCache>
                <c:formatCode>General</c:formatCode>
                <c:ptCount val="4"/>
                <c:pt idx="0">
                  <c:v>1</c:v>
                </c:pt>
                <c:pt idx="1">
                  <c:v>1</c:v>
                </c:pt>
              </c:numCache>
            </c:numRef>
          </c:val>
          <c:extLst>
            <c:ext xmlns:c16="http://schemas.microsoft.com/office/drawing/2014/chart" uri="{C3380CC4-5D6E-409C-BE32-E72D297353CC}">
              <c16:uniqueId val="{0000004F-A298-4063-91FA-0C76B63A728B}"/>
            </c:ext>
          </c:extLst>
        </c:ser>
        <c:ser>
          <c:idx val="7"/>
          <c:order val="7"/>
          <c:tx>
            <c:strRef>
              <c:f>PivotTable!$I$23:$I$24</c:f>
              <c:strCache>
                <c:ptCount val="1"/>
                <c:pt idx="0">
                  <c:v>Insomnia (Poor sleep)</c:v>
                </c:pt>
              </c:strCache>
            </c:strRef>
          </c:tx>
          <c:spPr>
            <a:noFill/>
            <a:ln w="25400" cap="flat" cmpd="sng" algn="ctr">
              <a:solidFill>
                <a:schemeClr val="accent4">
                  <a:lumMod val="80000"/>
                  <a:lumOff val="2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PivotTable!$I$25:$I$28</c:f>
              <c:numCache>
                <c:formatCode>General</c:formatCode>
                <c:ptCount val="4"/>
                <c:pt idx="0">
                  <c:v>7</c:v>
                </c:pt>
                <c:pt idx="1">
                  <c:v>3</c:v>
                </c:pt>
                <c:pt idx="2">
                  <c:v>4</c:v>
                </c:pt>
                <c:pt idx="3">
                  <c:v>1</c:v>
                </c:pt>
              </c:numCache>
            </c:numRef>
          </c:val>
          <c:extLst>
            <c:ext xmlns:c16="http://schemas.microsoft.com/office/drawing/2014/chart" uri="{C3380CC4-5D6E-409C-BE32-E72D297353CC}">
              <c16:uniqueId val="{00000050-A298-4063-91FA-0C76B63A728B}"/>
            </c:ext>
          </c:extLst>
        </c:ser>
        <c:ser>
          <c:idx val="8"/>
          <c:order val="8"/>
          <c:tx>
            <c:strRef>
              <c:f>PivotTable!$J$23:$J$24</c:f>
              <c:strCache>
                <c:ptCount val="1"/>
                <c:pt idx="0">
                  <c:v>Insomnia (Poor sleep), Digestive problems (acidity, constipation, bloating, etc)</c:v>
                </c:pt>
              </c:strCache>
            </c:strRef>
          </c:tx>
          <c:spPr>
            <a:noFill/>
            <a:ln w="25400" cap="flat" cmpd="sng" algn="ctr">
              <a:solidFill>
                <a:schemeClr val="accent6">
                  <a:lumMod val="80000"/>
                  <a:lumOff val="2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PivotTable!$J$25:$J$28</c:f>
              <c:numCache>
                <c:formatCode>General</c:formatCode>
                <c:ptCount val="4"/>
                <c:pt idx="0">
                  <c:v>1</c:v>
                </c:pt>
              </c:numCache>
            </c:numRef>
          </c:val>
          <c:extLst>
            <c:ext xmlns:c16="http://schemas.microsoft.com/office/drawing/2014/chart" uri="{C3380CC4-5D6E-409C-BE32-E72D297353CC}">
              <c16:uniqueId val="{00000051-A298-4063-91FA-0C76B63A728B}"/>
            </c:ext>
          </c:extLst>
        </c:ser>
        <c:ser>
          <c:idx val="9"/>
          <c:order val="9"/>
          <c:tx>
            <c:strRef>
              <c:f>PivotTable!$K$23:$K$24</c:f>
              <c:strCache>
                <c:ptCount val="1"/>
                <c:pt idx="0">
                  <c:v>Insomnia (Poor sleep), Stress or Anxiety, Digestive problems (acidity, constipation, bloating, etc)</c:v>
                </c:pt>
              </c:strCache>
            </c:strRef>
          </c:tx>
          <c:spPr>
            <a:noFill/>
            <a:ln w="25400" cap="flat" cmpd="sng" algn="ctr">
              <a:solidFill>
                <a:schemeClr val="accent2">
                  <a:lumMod val="8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PivotTable!$K$25:$K$28</c:f>
              <c:numCache>
                <c:formatCode>General</c:formatCode>
                <c:ptCount val="4"/>
                <c:pt idx="0">
                  <c:v>1</c:v>
                </c:pt>
                <c:pt idx="2">
                  <c:v>1</c:v>
                </c:pt>
              </c:numCache>
            </c:numRef>
          </c:val>
          <c:extLst>
            <c:ext xmlns:c16="http://schemas.microsoft.com/office/drawing/2014/chart" uri="{C3380CC4-5D6E-409C-BE32-E72D297353CC}">
              <c16:uniqueId val="{00000052-A298-4063-91FA-0C76B63A728B}"/>
            </c:ext>
          </c:extLst>
        </c:ser>
        <c:ser>
          <c:idx val="10"/>
          <c:order val="10"/>
          <c:tx>
            <c:strRef>
              <c:f>PivotTable!$L$23:$L$24</c:f>
              <c:strCache>
                <c:ptCount val="1"/>
                <c:pt idx="0">
                  <c:v>Insomnia (Poor sleep),Low immunity (fall sick often)</c:v>
                </c:pt>
              </c:strCache>
            </c:strRef>
          </c:tx>
          <c:spPr>
            <a:noFill/>
            <a:ln w="25400" cap="flat" cmpd="sng" algn="ctr">
              <a:solidFill>
                <a:schemeClr val="accent4">
                  <a:lumMod val="8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PivotTable!$L$25:$L$28</c:f>
              <c:numCache>
                <c:formatCode>General</c:formatCode>
                <c:ptCount val="4"/>
                <c:pt idx="2">
                  <c:v>2</c:v>
                </c:pt>
              </c:numCache>
            </c:numRef>
          </c:val>
          <c:extLst>
            <c:ext xmlns:c16="http://schemas.microsoft.com/office/drawing/2014/chart" uri="{C3380CC4-5D6E-409C-BE32-E72D297353CC}">
              <c16:uniqueId val="{00000053-A298-4063-91FA-0C76B63A728B}"/>
            </c:ext>
          </c:extLst>
        </c:ser>
        <c:ser>
          <c:idx val="11"/>
          <c:order val="11"/>
          <c:tx>
            <c:strRef>
              <c:f>PivotTable!$M$23:$M$24</c:f>
              <c:strCache>
                <c:ptCount val="1"/>
                <c:pt idx="0">
                  <c:v>Low immunity (fall sick often)</c:v>
                </c:pt>
              </c:strCache>
            </c:strRef>
          </c:tx>
          <c:spPr>
            <a:noFill/>
            <a:ln w="25400" cap="flat" cmpd="sng" algn="ctr">
              <a:solidFill>
                <a:schemeClr val="accent6">
                  <a:lumMod val="8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PivotTable!$M$25:$M$28</c:f>
              <c:numCache>
                <c:formatCode>General</c:formatCode>
                <c:ptCount val="4"/>
                <c:pt idx="1">
                  <c:v>15</c:v>
                </c:pt>
                <c:pt idx="3">
                  <c:v>4</c:v>
                </c:pt>
              </c:numCache>
            </c:numRef>
          </c:val>
          <c:extLst>
            <c:ext xmlns:c16="http://schemas.microsoft.com/office/drawing/2014/chart" uri="{C3380CC4-5D6E-409C-BE32-E72D297353CC}">
              <c16:uniqueId val="{00000054-A298-4063-91FA-0C76B63A728B}"/>
            </c:ext>
          </c:extLst>
        </c:ser>
        <c:ser>
          <c:idx val="12"/>
          <c:order val="12"/>
          <c:tx>
            <c:strRef>
              <c:f>PivotTable!$N$23:$N$24</c:f>
              <c:strCache>
                <c:ptCount val="1"/>
                <c:pt idx="0">
                  <c:v>Low immunity (fall sick often), Other</c:v>
                </c:pt>
              </c:strCache>
            </c:strRef>
          </c:tx>
          <c:spPr>
            <a:noFill/>
            <a:ln w="25400" cap="flat" cmpd="sng" algn="ctr">
              <a:solidFill>
                <a:schemeClr val="accent2">
                  <a:lumMod val="60000"/>
                  <a:lumOff val="4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PivotTable!$N$25:$N$28</c:f>
              <c:numCache>
                <c:formatCode>General</c:formatCode>
                <c:ptCount val="4"/>
                <c:pt idx="1">
                  <c:v>2</c:v>
                </c:pt>
              </c:numCache>
            </c:numRef>
          </c:val>
          <c:extLst>
            <c:ext xmlns:c16="http://schemas.microsoft.com/office/drawing/2014/chart" uri="{C3380CC4-5D6E-409C-BE32-E72D297353CC}">
              <c16:uniqueId val="{00000055-A298-4063-91FA-0C76B63A728B}"/>
            </c:ext>
          </c:extLst>
        </c:ser>
        <c:ser>
          <c:idx val="13"/>
          <c:order val="13"/>
          <c:tx>
            <c:strRef>
              <c:f>PivotTable!$O$23:$O$24</c:f>
              <c:strCache>
                <c:ptCount val="1"/>
                <c:pt idx="0">
                  <c:v>None</c:v>
                </c:pt>
              </c:strCache>
            </c:strRef>
          </c:tx>
          <c:spPr>
            <a:noFill/>
            <a:ln w="25400" cap="flat" cmpd="sng" algn="ctr">
              <a:solidFill>
                <a:schemeClr val="accent4">
                  <a:lumMod val="60000"/>
                  <a:lumOff val="4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PivotTable!$O$25:$O$28</c:f>
              <c:numCache>
                <c:formatCode>General</c:formatCode>
                <c:ptCount val="4"/>
                <c:pt idx="0">
                  <c:v>5</c:v>
                </c:pt>
                <c:pt idx="1">
                  <c:v>24</c:v>
                </c:pt>
                <c:pt idx="3">
                  <c:v>12</c:v>
                </c:pt>
              </c:numCache>
            </c:numRef>
          </c:val>
          <c:extLst>
            <c:ext xmlns:c16="http://schemas.microsoft.com/office/drawing/2014/chart" uri="{C3380CC4-5D6E-409C-BE32-E72D297353CC}">
              <c16:uniqueId val="{00000056-A298-4063-91FA-0C76B63A728B}"/>
            </c:ext>
          </c:extLst>
        </c:ser>
        <c:ser>
          <c:idx val="14"/>
          <c:order val="14"/>
          <c:tx>
            <c:strRef>
              <c:f>PivotTable!$P$23:$P$24</c:f>
              <c:strCache>
                <c:ptCount val="1"/>
                <c:pt idx="0">
                  <c:v>Other, Digestive problems (acidity, constipation, bloating, etc)</c:v>
                </c:pt>
              </c:strCache>
            </c:strRef>
          </c:tx>
          <c:spPr>
            <a:noFill/>
            <a:ln w="25400" cap="flat" cmpd="sng" algn="ctr">
              <a:solidFill>
                <a:schemeClr val="accent6">
                  <a:lumMod val="60000"/>
                  <a:lumOff val="4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PivotTable!$P$25:$P$28</c:f>
              <c:numCache>
                <c:formatCode>General</c:formatCode>
                <c:ptCount val="4"/>
                <c:pt idx="0">
                  <c:v>3</c:v>
                </c:pt>
              </c:numCache>
            </c:numRef>
          </c:val>
          <c:extLst>
            <c:ext xmlns:c16="http://schemas.microsoft.com/office/drawing/2014/chart" uri="{C3380CC4-5D6E-409C-BE32-E72D297353CC}">
              <c16:uniqueId val="{00000057-A298-4063-91FA-0C76B63A728B}"/>
            </c:ext>
          </c:extLst>
        </c:ser>
        <c:ser>
          <c:idx val="15"/>
          <c:order val="15"/>
          <c:tx>
            <c:strRef>
              <c:f>PivotTable!$Q$23:$Q$24</c:f>
              <c:strCache>
                <c:ptCount val="1"/>
                <c:pt idx="0">
                  <c:v>Other,Insomnia (Poor sleep)</c:v>
                </c:pt>
              </c:strCache>
            </c:strRef>
          </c:tx>
          <c:spPr>
            <a:noFill/>
            <a:ln w="25400" cap="flat" cmpd="sng" algn="ctr">
              <a:solidFill>
                <a:schemeClr val="accent2">
                  <a:lumMod val="5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PivotTable!$Q$25:$Q$28</c:f>
              <c:numCache>
                <c:formatCode>General</c:formatCode>
                <c:ptCount val="4"/>
                <c:pt idx="2">
                  <c:v>2</c:v>
                </c:pt>
              </c:numCache>
            </c:numRef>
          </c:val>
          <c:extLst>
            <c:ext xmlns:c16="http://schemas.microsoft.com/office/drawing/2014/chart" uri="{C3380CC4-5D6E-409C-BE32-E72D297353CC}">
              <c16:uniqueId val="{00000058-A298-4063-91FA-0C76B63A728B}"/>
            </c:ext>
          </c:extLst>
        </c:ser>
        <c:ser>
          <c:idx val="16"/>
          <c:order val="16"/>
          <c:tx>
            <c:strRef>
              <c:f>PivotTable!$R$23:$R$24</c:f>
              <c:strCache>
                <c:ptCount val="1"/>
                <c:pt idx="0">
                  <c:v>Stress or Anxiety</c:v>
                </c:pt>
              </c:strCache>
            </c:strRef>
          </c:tx>
          <c:spPr>
            <a:noFill/>
            <a:ln w="25400" cap="flat" cmpd="sng" algn="ctr">
              <a:solidFill>
                <a:schemeClr val="accent4">
                  <a:lumMod val="5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PivotTable!$R$25:$R$28</c:f>
              <c:numCache>
                <c:formatCode>General</c:formatCode>
                <c:ptCount val="4"/>
                <c:pt idx="0">
                  <c:v>4</c:v>
                </c:pt>
                <c:pt idx="1">
                  <c:v>4</c:v>
                </c:pt>
                <c:pt idx="3">
                  <c:v>3</c:v>
                </c:pt>
              </c:numCache>
            </c:numRef>
          </c:val>
          <c:extLst>
            <c:ext xmlns:c16="http://schemas.microsoft.com/office/drawing/2014/chart" uri="{C3380CC4-5D6E-409C-BE32-E72D297353CC}">
              <c16:uniqueId val="{00000059-A298-4063-91FA-0C76B63A728B}"/>
            </c:ext>
          </c:extLst>
        </c:ser>
        <c:ser>
          <c:idx val="17"/>
          <c:order val="17"/>
          <c:tx>
            <c:strRef>
              <c:f>PivotTable!$S$23:$S$24</c:f>
              <c:strCache>
                <c:ptCount val="1"/>
                <c:pt idx="0">
                  <c:v>Stress or Anxiety, Digestive problems (acidity, constipation, bloating, etc)</c:v>
                </c:pt>
              </c:strCache>
            </c:strRef>
          </c:tx>
          <c:spPr>
            <a:noFill/>
            <a:ln w="25400" cap="flat" cmpd="sng" algn="ctr">
              <a:solidFill>
                <a:schemeClr val="accent6">
                  <a:lumMod val="50000"/>
                </a:schemeClr>
              </a:solidFill>
              <a:miter lim="800000"/>
            </a:ln>
            <a:effectLst/>
          </c:spPr>
          <c:invertIfNegative val="0"/>
          <c:cat>
            <c:strRef>
              <c:f>PivotTable!$A$25:$A$28</c:f>
              <c:strCache>
                <c:ptCount val="4"/>
                <c:pt idx="0">
                  <c:v>5-6 hours</c:v>
                </c:pt>
                <c:pt idx="1">
                  <c:v>7-8 hours</c:v>
                </c:pt>
                <c:pt idx="2">
                  <c:v>Less than 5 hours</c:v>
                </c:pt>
                <c:pt idx="3">
                  <c:v>More than 8</c:v>
                </c:pt>
              </c:strCache>
            </c:strRef>
          </c:cat>
          <c:val>
            <c:numRef>
              <c:f>PivotTable!$S$25:$S$28</c:f>
              <c:numCache>
                <c:formatCode>General</c:formatCode>
                <c:ptCount val="4"/>
                <c:pt idx="0">
                  <c:v>3</c:v>
                </c:pt>
              </c:numCache>
            </c:numRef>
          </c:val>
          <c:extLst>
            <c:ext xmlns:c16="http://schemas.microsoft.com/office/drawing/2014/chart" uri="{C3380CC4-5D6E-409C-BE32-E72D297353CC}">
              <c16:uniqueId val="{0000005A-A298-4063-91FA-0C76B63A728B}"/>
            </c:ext>
          </c:extLst>
        </c:ser>
        <c:dLbls>
          <c:showLegendKey val="0"/>
          <c:showVal val="0"/>
          <c:showCatName val="0"/>
          <c:showSerName val="0"/>
          <c:showPercent val="0"/>
          <c:showBubbleSize val="0"/>
        </c:dLbls>
        <c:gapWidth val="227"/>
        <c:overlap val="-48"/>
        <c:axId val="519818736"/>
        <c:axId val="519829176"/>
      </c:barChart>
      <c:catAx>
        <c:axId val="51981873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519829176"/>
        <c:crosses val="autoZero"/>
        <c:auto val="1"/>
        <c:lblAlgn val="ctr"/>
        <c:lblOffset val="100"/>
        <c:noMultiLvlLbl val="0"/>
      </c:catAx>
      <c:valAx>
        <c:axId val="519829176"/>
        <c:scaling>
          <c:orientation val="minMax"/>
        </c:scaling>
        <c:delete val="0"/>
        <c:axPos val="b"/>
        <c:numFmt formatCode="General" sourceLinked="1"/>
        <c:majorTickMark val="none"/>
        <c:minorTickMark val="none"/>
        <c:tickLblPos val="nextTo"/>
        <c:spPr>
          <a:noFill/>
          <a:ln w="9525">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519818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[Lifestyle &amp; health Proj1.3.xlsm]PivotTable!PivotTable5</c:name>
    <c:fmtId val="2"/>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sz="1100">
                <a:solidFill>
                  <a:sysClr val="windowText" lastClr="000000"/>
                </a:solidFill>
              </a:rPr>
              <a:t>FASTFOOD VS BMI CATEGORY</a:t>
            </a:r>
          </a:p>
        </c:rich>
      </c:tx>
      <c:layout>
        <c:manualLayout>
          <c:xMode val="edge"/>
          <c:yMode val="edge"/>
          <c:x val="0.31561789151356079"/>
          <c:y val="0.11472003499562555"/>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PivotTable!$B$31:$B$32</c:f>
              <c:strCache>
                <c:ptCount val="1"/>
                <c:pt idx="0">
                  <c:v>Normal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PivotTable!$A$33:$A$39</c:f>
              <c:strCache>
                <c:ptCount val="7"/>
                <c:pt idx="0">
                  <c:v>1 time a month</c:v>
                </c:pt>
                <c:pt idx="1">
                  <c:v>1 time a week</c:v>
                </c:pt>
                <c:pt idx="2">
                  <c:v>1 times a month</c:v>
                </c:pt>
                <c:pt idx="3">
                  <c:v>1 times a week</c:v>
                </c:pt>
                <c:pt idx="4">
                  <c:v>2-3 times a week</c:v>
                </c:pt>
                <c:pt idx="5">
                  <c:v>5-6 times a week</c:v>
                </c:pt>
                <c:pt idx="6">
                  <c:v>Never</c:v>
                </c:pt>
              </c:strCache>
            </c:strRef>
          </c:cat>
          <c:val>
            <c:numRef>
              <c:f>PivotTable!$B$33:$B$39</c:f>
              <c:numCache>
                <c:formatCode>General</c:formatCode>
                <c:ptCount val="7"/>
                <c:pt idx="0">
                  <c:v>5</c:v>
                </c:pt>
                <c:pt idx="1">
                  <c:v>7</c:v>
                </c:pt>
                <c:pt idx="2">
                  <c:v>10</c:v>
                </c:pt>
                <c:pt idx="3">
                  <c:v>9</c:v>
                </c:pt>
                <c:pt idx="4">
                  <c:v>13</c:v>
                </c:pt>
                <c:pt idx="5">
                  <c:v>13</c:v>
                </c:pt>
                <c:pt idx="6">
                  <c:v>9</c:v>
                </c:pt>
              </c:numCache>
            </c:numRef>
          </c:val>
          <c:extLst>
            <c:ext xmlns:c16="http://schemas.microsoft.com/office/drawing/2014/chart" uri="{C3380CC4-5D6E-409C-BE32-E72D297353CC}">
              <c16:uniqueId val="{00000000-1A22-4442-B6E1-4E8B1A95E2A7}"/>
            </c:ext>
          </c:extLst>
        </c:ser>
        <c:ser>
          <c:idx val="1"/>
          <c:order val="1"/>
          <c:tx>
            <c:strRef>
              <c:f>PivotTable!$C$31:$C$32</c:f>
              <c:strCache>
                <c:ptCount val="1"/>
                <c:pt idx="0">
                  <c:v>obese</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cat>
            <c:strRef>
              <c:f>PivotTable!$A$33:$A$39</c:f>
              <c:strCache>
                <c:ptCount val="7"/>
                <c:pt idx="0">
                  <c:v>1 time a month</c:v>
                </c:pt>
                <c:pt idx="1">
                  <c:v>1 time a week</c:v>
                </c:pt>
                <c:pt idx="2">
                  <c:v>1 times a month</c:v>
                </c:pt>
                <c:pt idx="3">
                  <c:v>1 times a week</c:v>
                </c:pt>
                <c:pt idx="4">
                  <c:v>2-3 times a week</c:v>
                </c:pt>
                <c:pt idx="5">
                  <c:v>5-6 times a week</c:v>
                </c:pt>
                <c:pt idx="6">
                  <c:v>Never</c:v>
                </c:pt>
              </c:strCache>
            </c:strRef>
          </c:cat>
          <c:val>
            <c:numRef>
              <c:f>PivotTable!$C$33:$C$39</c:f>
              <c:numCache>
                <c:formatCode>General</c:formatCode>
                <c:ptCount val="7"/>
                <c:pt idx="1">
                  <c:v>5</c:v>
                </c:pt>
                <c:pt idx="4">
                  <c:v>1</c:v>
                </c:pt>
                <c:pt idx="5">
                  <c:v>5</c:v>
                </c:pt>
                <c:pt idx="6">
                  <c:v>1</c:v>
                </c:pt>
              </c:numCache>
            </c:numRef>
          </c:val>
          <c:extLst>
            <c:ext xmlns:c16="http://schemas.microsoft.com/office/drawing/2014/chart" uri="{C3380CC4-5D6E-409C-BE32-E72D297353CC}">
              <c16:uniqueId val="{0000000A-062D-4790-B288-E0E40B752943}"/>
            </c:ext>
          </c:extLst>
        </c:ser>
        <c:ser>
          <c:idx val="2"/>
          <c:order val="2"/>
          <c:tx>
            <c:strRef>
              <c:f>PivotTable!$D$31:$D$32</c:f>
              <c:strCache>
                <c:ptCount val="1"/>
                <c:pt idx="0">
                  <c:v>Overweight</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cat>
            <c:strRef>
              <c:f>PivotTable!$A$33:$A$39</c:f>
              <c:strCache>
                <c:ptCount val="7"/>
                <c:pt idx="0">
                  <c:v>1 time a month</c:v>
                </c:pt>
                <c:pt idx="1">
                  <c:v>1 time a week</c:v>
                </c:pt>
                <c:pt idx="2">
                  <c:v>1 times a month</c:v>
                </c:pt>
                <c:pt idx="3">
                  <c:v>1 times a week</c:v>
                </c:pt>
                <c:pt idx="4">
                  <c:v>2-3 times a week</c:v>
                </c:pt>
                <c:pt idx="5">
                  <c:v>5-6 times a week</c:v>
                </c:pt>
                <c:pt idx="6">
                  <c:v>Never</c:v>
                </c:pt>
              </c:strCache>
            </c:strRef>
          </c:cat>
          <c:val>
            <c:numRef>
              <c:f>PivotTable!$D$33:$D$39</c:f>
              <c:numCache>
                <c:formatCode>General</c:formatCode>
                <c:ptCount val="7"/>
                <c:pt idx="1">
                  <c:v>4</c:v>
                </c:pt>
                <c:pt idx="2">
                  <c:v>3</c:v>
                </c:pt>
                <c:pt idx="3">
                  <c:v>7</c:v>
                </c:pt>
                <c:pt idx="4">
                  <c:v>2</c:v>
                </c:pt>
                <c:pt idx="5">
                  <c:v>7</c:v>
                </c:pt>
                <c:pt idx="6">
                  <c:v>13</c:v>
                </c:pt>
              </c:numCache>
            </c:numRef>
          </c:val>
          <c:extLst>
            <c:ext xmlns:c16="http://schemas.microsoft.com/office/drawing/2014/chart" uri="{C3380CC4-5D6E-409C-BE32-E72D297353CC}">
              <c16:uniqueId val="{0000000B-062D-4790-B288-E0E40B752943}"/>
            </c:ext>
          </c:extLst>
        </c:ser>
        <c:ser>
          <c:idx val="3"/>
          <c:order val="3"/>
          <c:tx>
            <c:strRef>
              <c:f>PivotTable!$E$31:$E$32</c:f>
              <c:strCache>
                <c:ptCount val="1"/>
                <c:pt idx="0">
                  <c:v>Underweight</c:v>
                </c:pt>
              </c:strCache>
            </c:strRef>
          </c:tx>
          <c:spPr>
            <a:pattFill prst="narHorz">
              <a:fgClr>
                <a:schemeClr val="accent6">
                  <a:lumMod val="60000"/>
                </a:schemeClr>
              </a:fgClr>
              <a:bgClr>
                <a:schemeClr val="accent6">
                  <a:lumMod val="60000"/>
                  <a:lumMod val="20000"/>
                  <a:lumOff val="80000"/>
                </a:schemeClr>
              </a:bgClr>
            </a:pattFill>
            <a:ln>
              <a:noFill/>
            </a:ln>
            <a:effectLst>
              <a:innerShdw blurRad="114300">
                <a:schemeClr val="accent6">
                  <a:lumMod val="60000"/>
                </a:schemeClr>
              </a:innerShdw>
            </a:effectLst>
          </c:spPr>
          <c:invertIfNegative val="0"/>
          <c:cat>
            <c:strRef>
              <c:f>PivotTable!$A$33:$A$39</c:f>
              <c:strCache>
                <c:ptCount val="7"/>
                <c:pt idx="0">
                  <c:v>1 time a month</c:v>
                </c:pt>
                <c:pt idx="1">
                  <c:v>1 time a week</c:v>
                </c:pt>
                <c:pt idx="2">
                  <c:v>1 times a month</c:v>
                </c:pt>
                <c:pt idx="3">
                  <c:v>1 times a week</c:v>
                </c:pt>
                <c:pt idx="4">
                  <c:v>2-3 times a week</c:v>
                </c:pt>
                <c:pt idx="5">
                  <c:v>5-6 times a week</c:v>
                </c:pt>
                <c:pt idx="6">
                  <c:v>Never</c:v>
                </c:pt>
              </c:strCache>
            </c:strRef>
          </c:cat>
          <c:val>
            <c:numRef>
              <c:f>PivotTable!$E$33:$E$39</c:f>
              <c:numCache>
                <c:formatCode>General</c:formatCode>
                <c:ptCount val="7"/>
                <c:pt idx="1">
                  <c:v>2</c:v>
                </c:pt>
                <c:pt idx="2">
                  <c:v>1</c:v>
                </c:pt>
                <c:pt idx="3">
                  <c:v>1</c:v>
                </c:pt>
                <c:pt idx="4">
                  <c:v>6</c:v>
                </c:pt>
                <c:pt idx="5">
                  <c:v>3</c:v>
                </c:pt>
                <c:pt idx="6">
                  <c:v>1</c:v>
                </c:pt>
              </c:numCache>
            </c:numRef>
          </c:val>
          <c:extLst>
            <c:ext xmlns:c16="http://schemas.microsoft.com/office/drawing/2014/chart" uri="{C3380CC4-5D6E-409C-BE32-E72D297353CC}">
              <c16:uniqueId val="{0000000C-062D-4790-B288-E0E40B752943}"/>
            </c:ext>
          </c:extLst>
        </c:ser>
        <c:dLbls>
          <c:showLegendKey val="0"/>
          <c:showVal val="0"/>
          <c:showCatName val="0"/>
          <c:showSerName val="0"/>
          <c:showPercent val="0"/>
          <c:showBubbleSize val="0"/>
        </c:dLbls>
        <c:gapWidth val="150"/>
        <c:overlap val="100"/>
        <c:axId val="1007381392"/>
        <c:axId val="1007378152"/>
      </c:barChart>
      <c:catAx>
        <c:axId val="100738139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7378152"/>
        <c:crosses val="autoZero"/>
        <c:auto val="1"/>
        <c:lblAlgn val="ctr"/>
        <c:lblOffset val="100"/>
        <c:noMultiLvlLbl val="0"/>
      </c:catAx>
      <c:valAx>
        <c:axId val="10073781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7381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[Lifestyle &amp; health Proj1.3.xlsm]PivotTable!PivotTable6</c:name>
    <c:fmtId val="2"/>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sz="1100">
                <a:solidFill>
                  <a:sysClr val="windowText" lastClr="000000"/>
                </a:solidFill>
              </a:rPr>
              <a:t>OILYFOOD VS BMI CATEGORY</a:t>
            </a:r>
          </a:p>
        </c:rich>
      </c:tx>
      <c:layout>
        <c:manualLayout>
          <c:xMode val="edge"/>
          <c:yMode val="edge"/>
          <c:x val="0.31786789151356082"/>
          <c:y val="0.1100904053659959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580927384076991E-2"/>
          <c:y val="0.30318819121968726"/>
          <c:w val="0.69661351706036745"/>
          <c:h val="0.45192408641227538"/>
        </c:manualLayout>
      </c:layout>
      <c:barChart>
        <c:barDir val="col"/>
        <c:grouping val="stacked"/>
        <c:varyColors val="0"/>
        <c:ser>
          <c:idx val="0"/>
          <c:order val="0"/>
          <c:tx>
            <c:strRef>
              <c:f>PivotTable!$B$42:$B$43</c:f>
              <c:strCache>
                <c:ptCount val="1"/>
                <c:pt idx="0">
                  <c:v>Normal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PivotTable!$A$44:$A$48</c:f>
              <c:strCache>
                <c:ptCount val="5"/>
                <c:pt idx="0">
                  <c:v>Daily</c:v>
                </c:pt>
                <c:pt idx="1">
                  <c:v>Never</c:v>
                </c:pt>
                <c:pt idx="2">
                  <c:v>Often</c:v>
                </c:pt>
                <c:pt idx="3">
                  <c:v>Rarely</c:v>
                </c:pt>
                <c:pt idx="4">
                  <c:v>Sometimes</c:v>
                </c:pt>
              </c:strCache>
            </c:strRef>
          </c:cat>
          <c:val>
            <c:numRef>
              <c:f>PivotTable!$B$44:$B$48</c:f>
              <c:numCache>
                <c:formatCode>General</c:formatCode>
                <c:ptCount val="5"/>
                <c:pt idx="0">
                  <c:v>3</c:v>
                </c:pt>
                <c:pt idx="1">
                  <c:v>5</c:v>
                </c:pt>
                <c:pt idx="2">
                  <c:v>14</c:v>
                </c:pt>
                <c:pt idx="3">
                  <c:v>19</c:v>
                </c:pt>
                <c:pt idx="4">
                  <c:v>25</c:v>
                </c:pt>
              </c:numCache>
            </c:numRef>
          </c:val>
          <c:extLst>
            <c:ext xmlns:c16="http://schemas.microsoft.com/office/drawing/2014/chart" uri="{C3380CC4-5D6E-409C-BE32-E72D297353CC}">
              <c16:uniqueId val="{00000000-E39F-47A0-9E6B-D80A5E2B7B0F}"/>
            </c:ext>
          </c:extLst>
        </c:ser>
        <c:ser>
          <c:idx val="1"/>
          <c:order val="1"/>
          <c:tx>
            <c:strRef>
              <c:f>PivotTable!$C$42:$C$43</c:f>
              <c:strCache>
                <c:ptCount val="1"/>
                <c:pt idx="0">
                  <c:v>obese</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cat>
            <c:strRef>
              <c:f>PivotTable!$A$44:$A$48</c:f>
              <c:strCache>
                <c:ptCount val="5"/>
                <c:pt idx="0">
                  <c:v>Daily</c:v>
                </c:pt>
                <c:pt idx="1">
                  <c:v>Never</c:v>
                </c:pt>
                <c:pt idx="2">
                  <c:v>Often</c:v>
                </c:pt>
                <c:pt idx="3">
                  <c:v>Rarely</c:v>
                </c:pt>
                <c:pt idx="4">
                  <c:v>Sometimes</c:v>
                </c:pt>
              </c:strCache>
            </c:strRef>
          </c:cat>
          <c:val>
            <c:numRef>
              <c:f>PivotTable!$C$44:$C$48</c:f>
              <c:numCache>
                <c:formatCode>General</c:formatCode>
                <c:ptCount val="5"/>
                <c:pt idx="0">
                  <c:v>3</c:v>
                </c:pt>
                <c:pt idx="1">
                  <c:v>1</c:v>
                </c:pt>
                <c:pt idx="2">
                  <c:v>2</c:v>
                </c:pt>
                <c:pt idx="3">
                  <c:v>2</c:v>
                </c:pt>
                <c:pt idx="4">
                  <c:v>4</c:v>
                </c:pt>
              </c:numCache>
            </c:numRef>
          </c:val>
          <c:extLst>
            <c:ext xmlns:c16="http://schemas.microsoft.com/office/drawing/2014/chart" uri="{C3380CC4-5D6E-409C-BE32-E72D297353CC}">
              <c16:uniqueId val="{0000000A-7B12-4D85-9B72-E8105997F931}"/>
            </c:ext>
          </c:extLst>
        </c:ser>
        <c:ser>
          <c:idx val="2"/>
          <c:order val="2"/>
          <c:tx>
            <c:strRef>
              <c:f>PivotTable!$D$42:$D$43</c:f>
              <c:strCache>
                <c:ptCount val="1"/>
                <c:pt idx="0">
                  <c:v>Overweight</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cat>
            <c:strRef>
              <c:f>PivotTable!$A$44:$A$48</c:f>
              <c:strCache>
                <c:ptCount val="5"/>
                <c:pt idx="0">
                  <c:v>Daily</c:v>
                </c:pt>
                <c:pt idx="1">
                  <c:v>Never</c:v>
                </c:pt>
                <c:pt idx="2">
                  <c:v>Often</c:v>
                </c:pt>
                <c:pt idx="3">
                  <c:v>Rarely</c:v>
                </c:pt>
                <c:pt idx="4">
                  <c:v>Sometimes</c:v>
                </c:pt>
              </c:strCache>
            </c:strRef>
          </c:cat>
          <c:val>
            <c:numRef>
              <c:f>PivotTable!$D$44:$D$48</c:f>
              <c:numCache>
                <c:formatCode>General</c:formatCode>
                <c:ptCount val="5"/>
                <c:pt idx="0">
                  <c:v>5</c:v>
                </c:pt>
                <c:pt idx="1">
                  <c:v>2</c:v>
                </c:pt>
                <c:pt idx="2">
                  <c:v>2</c:v>
                </c:pt>
                <c:pt idx="3">
                  <c:v>18</c:v>
                </c:pt>
                <c:pt idx="4">
                  <c:v>9</c:v>
                </c:pt>
              </c:numCache>
            </c:numRef>
          </c:val>
          <c:extLst>
            <c:ext xmlns:c16="http://schemas.microsoft.com/office/drawing/2014/chart" uri="{C3380CC4-5D6E-409C-BE32-E72D297353CC}">
              <c16:uniqueId val="{0000000B-7B12-4D85-9B72-E8105997F931}"/>
            </c:ext>
          </c:extLst>
        </c:ser>
        <c:ser>
          <c:idx val="3"/>
          <c:order val="3"/>
          <c:tx>
            <c:strRef>
              <c:f>PivotTable!$E$42:$E$43</c:f>
              <c:strCache>
                <c:ptCount val="1"/>
                <c:pt idx="0">
                  <c:v>Underweight</c:v>
                </c:pt>
              </c:strCache>
            </c:strRef>
          </c:tx>
          <c:spPr>
            <a:pattFill prst="narHorz">
              <a:fgClr>
                <a:schemeClr val="accent6">
                  <a:lumMod val="60000"/>
                </a:schemeClr>
              </a:fgClr>
              <a:bgClr>
                <a:schemeClr val="accent6">
                  <a:lumMod val="60000"/>
                  <a:lumMod val="20000"/>
                  <a:lumOff val="80000"/>
                </a:schemeClr>
              </a:bgClr>
            </a:pattFill>
            <a:ln>
              <a:noFill/>
            </a:ln>
            <a:effectLst>
              <a:innerShdw blurRad="114300">
                <a:schemeClr val="accent6">
                  <a:lumMod val="60000"/>
                </a:schemeClr>
              </a:innerShdw>
            </a:effectLst>
          </c:spPr>
          <c:invertIfNegative val="0"/>
          <c:cat>
            <c:strRef>
              <c:f>PivotTable!$A$44:$A$48</c:f>
              <c:strCache>
                <c:ptCount val="5"/>
                <c:pt idx="0">
                  <c:v>Daily</c:v>
                </c:pt>
                <c:pt idx="1">
                  <c:v>Never</c:v>
                </c:pt>
                <c:pt idx="2">
                  <c:v>Often</c:v>
                </c:pt>
                <c:pt idx="3">
                  <c:v>Rarely</c:v>
                </c:pt>
                <c:pt idx="4">
                  <c:v>Sometimes</c:v>
                </c:pt>
              </c:strCache>
            </c:strRef>
          </c:cat>
          <c:val>
            <c:numRef>
              <c:f>PivotTable!$E$44:$E$48</c:f>
              <c:numCache>
                <c:formatCode>General</c:formatCode>
                <c:ptCount val="5"/>
                <c:pt idx="0">
                  <c:v>1</c:v>
                </c:pt>
                <c:pt idx="1">
                  <c:v>1</c:v>
                </c:pt>
                <c:pt idx="2">
                  <c:v>1</c:v>
                </c:pt>
                <c:pt idx="3">
                  <c:v>5</c:v>
                </c:pt>
                <c:pt idx="4">
                  <c:v>6</c:v>
                </c:pt>
              </c:numCache>
            </c:numRef>
          </c:val>
          <c:extLst>
            <c:ext xmlns:c16="http://schemas.microsoft.com/office/drawing/2014/chart" uri="{C3380CC4-5D6E-409C-BE32-E72D297353CC}">
              <c16:uniqueId val="{0000000C-7B12-4D85-9B72-E8105997F931}"/>
            </c:ext>
          </c:extLst>
        </c:ser>
        <c:dLbls>
          <c:showLegendKey val="0"/>
          <c:showVal val="0"/>
          <c:showCatName val="0"/>
          <c:showSerName val="0"/>
          <c:showPercent val="0"/>
          <c:showBubbleSize val="0"/>
        </c:dLbls>
        <c:gapWidth val="150"/>
        <c:overlap val="100"/>
        <c:axId val="1007383552"/>
        <c:axId val="1007384632"/>
      </c:barChart>
      <c:catAx>
        <c:axId val="100738355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7384632"/>
        <c:crosses val="autoZero"/>
        <c:auto val="1"/>
        <c:lblAlgn val="ctr"/>
        <c:lblOffset val="100"/>
        <c:noMultiLvlLbl val="0"/>
      </c:catAx>
      <c:valAx>
        <c:axId val="10073846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7383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[Lifestyle &amp; health Proj1.3.xlsm]PivotTable!PivotTable7</c:name>
    <c:fmtId val="10"/>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IN" sz="1100" b="1">
                <a:solidFill>
                  <a:sysClr val="windowText" lastClr="000000"/>
                </a:solidFill>
              </a:rPr>
              <a:t>MEDICAL</a:t>
            </a:r>
            <a:r>
              <a:rPr lang="en-IN" baseline="0"/>
              <a:t> </a:t>
            </a:r>
            <a:r>
              <a:rPr lang="en-IN" sz="1100" b="1" baseline="0">
                <a:solidFill>
                  <a:sysClr val="windowText" lastClr="000000"/>
                </a:solidFill>
              </a:rPr>
              <a:t>CHECK-UPS</a:t>
            </a:r>
            <a:r>
              <a:rPr lang="en-IN" baseline="0"/>
              <a:t> </a:t>
            </a:r>
            <a:r>
              <a:rPr lang="en-IN" sz="1200" b="1" baseline="0">
                <a:solidFill>
                  <a:sysClr val="windowText" lastClr="000000"/>
                </a:solidFill>
              </a:rPr>
              <a:t>VS</a:t>
            </a:r>
            <a:r>
              <a:rPr lang="en-IN" baseline="0"/>
              <a:t> </a:t>
            </a:r>
            <a:r>
              <a:rPr lang="en-IN" sz="1100" b="1" baseline="0">
                <a:solidFill>
                  <a:sysClr val="windowText" lastClr="000000"/>
                </a:solidFill>
              </a:rPr>
              <a:t>HEALTH</a:t>
            </a:r>
            <a:r>
              <a:rPr lang="en-IN" baseline="0"/>
              <a:t> </a:t>
            </a:r>
            <a:r>
              <a:rPr lang="en-IN" sz="1100" b="1" baseline="0">
                <a:solidFill>
                  <a:sysClr val="windowText" lastClr="000000"/>
                </a:solidFill>
              </a:rPr>
              <a:t>ISSUES</a:t>
            </a:r>
            <a:endParaRPr lang="en-IN" sz="1100" b="1">
              <a:solidFill>
                <a:sysClr val="windowText" lastClr="000000"/>
              </a:solidFill>
            </a:endParaRPr>
          </a:p>
        </c:rich>
      </c:tx>
      <c:layout>
        <c:manualLayout>
          <c:xMode val="edge"/>
          <c:yMode val="edge"/>
          <c:x val="0.31654864037517699"/>
          <c:y val="8.3129491991071211E-2"/>
        </c:manualLayout>
      </c:layout>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PivotTable!$B$53:$B$54</c:f>
              <c:strCache>
                <c:ptCount val="1"/>
                <c:pt idx="0">
                  <c:v> Fatigue (Frequent tiredness)</c:v>
                </c:pt>
              </c:strCache>
            </c:strRef>
          </c:tx>
          <c:spPr>
            <a:noFill/>
            <a:ln w="25400" cap="flat" cmpd="sng" algn="ctr">
              <a:solidFill>
                <a:schemeClr val="accent2"/>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PivotTable!$B$55:$B$59</c:f>
              <c:numCache>
                <c:formatCode>General</c:formatCode>
                <c:ptCount val="5"/>
                <c:pt idx="4">
                  <c:v>2</c:v>
                </c:pt>
              </c:numCache>
            </c:numRef>
          </c:val>
          <c:extLst>
            <c:ext xmlns:c16="http://schemas.microsoft.com/office/drawing/2014/chart" uri="{C3380CC4-5D6E-409C-BE32-E72D297353CC}">
              <c16:uniqueId val="{00000000-E36E-415F-933B-2184CE1C7356}"/>
            </c:ext>
          </c:extLst>
        </c:ser>
        <c:ser>
          <c:idx val="1"/>
          <c:order val="1"/>
          <c:tx>
            <c:strRef>
              <c:f>PivotTable!$C$53:$C$54</c:f>
              <c:strCache>
                <c:ptCount val="1"/>
                <c:pt idx="0">
                  <c:v> Stress/Anxiety,Insomnia (Poor sleep)</c:v>
                </c:pt>
              </c:strCache>
            </c:strRef>
          </c:tx>
          <c:spPr>
            <a:noFill/>
            <a:ln w="25400" cap="flat" cmpd="sng" algn="ctr">
              <a:solidFill>
                <a:schemeClr val="accent4"/>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PivotTable!$C$55:$C$59</c:f>
              <c:numCache>
                <c:formatCode>General</c:formatCode>
                <c:ptCount val="5"/>
                <c:pt idx="4">
                  <c:v>2</c:v>
                </c:pt>
              </c:numCache>
            </c:numRef>
          </c:val>
          <c:extLst>
            <c:ext xmlns:c16="http://schemas.microsoft.com/office/drawing/2014/chart" uri="{C3380CC4-5D6E-409C-BE32-E72D297353CC}">
              <c16:uniqueId val="{0000004A-E9BD-487D-B605-63FF935F36A2}"/>
            </c:ext>
          </c:extLst>
        </c:ser>
        <c:ser>
          <c:idx val="2"/>
          <c:order val="2"/>
          <c:tx>
            <c:strRef>
              <c:f>PivotTable!$D$53:$D$54</c:f>
              <c:strCache>
                <c:ptCount val="1"/>
                <c:pt idx="0">
                  <c:v>Digestive problems (acidity, constipation, bloating, etc)</c:v>
                </c:pt>
              </c:strCache>
            </c:strRef>
          </c:tx>
          <c:spPr>
            <a:noFill/>
            <a:ln w="25400" cap="flat" cmpd="sng" algn="ctr">
              <a:solidFill>
                <a:schemeClr val="accent6"/>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PivotTable!$D$55:$D$59</c:f>
              <c:numCache>
                <c:formatCode>General</c:formatCode>
                <c:ptCount val="5"/>
                <c:pt idx="3">
                  <c:v>1</c:v>
                </c:pt>
                <c:pt idx="4">
                  <c:v>13</c:v>
                </c:pt>
              </c:numCache>
            </c:numRef>
          </c:val>
          <c:extLst>
            <c:ext xmlns:c16="http://schemas.microsoft.com/office/drawing/2014/chart" uri="{C3380CC4-5D6E-409C-BE32-E72D297353CC}">
              <c16:uniqueId val="{0000004B-E9BD-487D-B605-63FF935F36A2}"/>
            </c:ext>
          </c:extLst>
        </c:ser>
        <c:ser>
          <c:idx val="3"/>
          <c:order val="3"/>
          <c:tx>
            <c:strRef>
              <c:f>PivotTable!$E$53:$E$54</c:f>
              <c:strCache>
                <c:ptCount val="1"/>
                <c:pt idx="0">
                  <c:v>Digestive problems (acidity, constipation, bloating, etc), Low immunity (fall sick often)</c:v>
                </c:pt>
              </c:strCache>
            </c:strRef>
          </c:tx>
          <c:spPr>
            <a:noFill/>
            <a:ln w="25400" cap="flat" cmpd="sng" algn="ctr">
              <a:solidFill>
                <a:schemeClr val="accent2">
                  <a:lumMod val="6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PivotTable!$E$55:$E$59</c:f>
              <c:numCache>
                <c:formatCode>General</c:formatCode>
                <c:ptCount val="5"/>
                <c:pt idx="1">
                  <c:v>2</c:v>
                </c:pt>
              </c:numCache>
            </c:numRef>
          </c:val>
          <c:extLst>
            <c:ext xmlns:c16="http://schemas.microsoft.com/office/drawing/2014/chart" uri="{C3380CC4-5D6E-409C-BE32-E72D297353CC}">
              <c16:uniqueId val="{0000004C-E9BD-487D-B605-63FF935F36A2}"/>
            </c:ext>
          </c:extLst>
        </c:ser>
        <c:ser>
          <c:idx val="4"/>
          <c:order val="4"/>
          <c:tx>
            <c:strRef>
              <c:f>PivotTable!$F$53:$F$54</c:f>
              <c:strCache>
                <c:ptCount val="1"/>
                <c:pt idx="0">
                  <c:v>Fatigue (Frequent tiredness)</c:v>
                </c:pt>
              </c:strCache>
            </c:strRef>
          </c:tx>
          <c:spPr>
            <a:noFill/>
            <a:ln w="25400" cap="flat" cmpd="sng" algn="ctr">
              <a:solidFill>
                <a:schemeClr val="accent4">
                  <a:lumMod val="6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PivotTable!$F$55:$F$59</c:f>
              <c:numCache>
                <c:formatCode>General</c:formatCode>
                <c:ptCount val="5"/>
                <c:pt idx="3">
                  <c:v>1</c:v>
                </c:pt>
                <c:pt idx="4">
                  <c:v>2</c:v>
                </c:pt>
              </c:numCache>
            </c:numRef>
          </c:val>
          <c:extLst>
            <c:ext xmlns:c16="http://schemas.microsoft.com/office/drawing/2014/chart" uri="{C3380CC4-5D6E-409C-BE32-E72D297353CC}">
              <c16:uniqueId val="{0000004D-E9BD-487D-B605-63FF935F36A2}"/>
            </c:ext>
          </c:extLst>
        </c:ser>
        <c:ser>
          <c:idx val="5"/>
          <c:order val="5"/>
          <c:tx>
            <c:strRef>
              <c:f>PivotTable!$G$53:$G$54</c:f>
              <c:strCache>
                <c:ptCount val="1"/>
                <c:pt idx="0">
                  <c:v>Fatigue (Frequent tiredness), Low immunity (fall sick often)</c:v>
                </c:pt>
              </c:strCache>
            </c:strRef>
          </c:tx>
          <c:spPr>
            <a:noFill/>
            <a:ln w="25400" cap="flat" cmpd="sng" algn="ctr">
              <a:solidFill>
                <a:schemeClr val="accent6">
                  <a:lumMod val="6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PivotTable!$G$55:$G$59</c:f>
              <c:numCache>
                <c:formatCode>General</c:formatCode>
                <c:ptCount val="5"/>
                <c:pt idx="1">
                  <c:v>2</c:v>
                </c:pt>
              </c:numCache>
            </c:numRef>
          </c:val>
          <c:extLst>
            <c:ext xmlns:c16="http://schemas.microsoft.com/office/drawing/2014/chart" uri="{C3380CC4-5D6E-409C-BE32-E72D297353CC}">
              <c16:uniqueId val="{0000004E-E9BD-487D-B605-63FF935F36A2}"/>
            </c:ext>
          </c:extLst>
        </c:ser>
        <c:ser>
          <c:idx val="6"/>
          <c:order val="6"/>
          <c:tx>
            <c:strRef>
              <c:f>PivotTable!$H$53:$H$54</c:f>
              <c:strCache>
                <c:ptCount val="1"/>
                <c:pt idx="0">
                  <c:v>Fatigue (Frequent tiredness), Stress or Anxiety</c:v>
                </c:pt>
              </c:strCache>
            </c:strRef>
          </c:tx>
          <c:spPr>
            <a:noFill/>
            <a:ln w="25400" cap="flat" cmpd="sng" algn="ctr">
              <a:solidFill>
                <a:schemeClr val="accent2">
                  <a:lumMod val="80000"/>
                  <a:lumOff val="2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PivotTable!$H$55:$H$59</c:f>
              <c:numCache>
                <c:formatCode>General</c:formatCode>
                <c:ptCount val="5"/>
                <c:pt idx="1">
                  <c:v>1</c:v>
                </c:pt>
                <c:pt idx="4">
                  <c:v>1</c:v>
                </c:pt>
              </c:numCache>
            </c:numRef>
          </c:val>
          <c:extLst>
            <c:ext xmlns:c16="http://schemas.microsoft.com/office/drawing/2014/chart" uri="{C3380CC4-5D6E-409C-BE32-E72D297353CC}">
              <c16:uniqueId val="{0000004F-E9BD-487D-B605-63FF935F36A2}"/>
            </c:ext>
          </c:extLst>
        </c:ser>
        <c:ser>
          <c:idx val="7"/>
          <c:order val="7"/>
          <c:tx>
            <c:strRef>
              <c:f>PivotTable!$I$53:$I$54</c:f>
              <c:strCache>
                <c:ptCount val="1"/>
                <c:pt idx="0">
                  <c:v>Insomnia (Poor sleep)</c:v>
                </c:pt>
              </c:strCache>
            </c:strRef>
          </c:tx>
          <c:spPr>
            <a:noFill/>
            <a:ln w="25400" cap="flat" cmpd="sng" algn="ctr">
              <a:solidFill>
                <a:schemeClr val="accent4">
                  <a:lumMod val="80000"/>
                  <a:lumOff val="2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PivotTable!$I$55:$I$59</c:f>
              <c:numCache>
                <c:formatCode>General</c:formatCode>
                <c:ptCount val="5"/>
                <c:pt idx="0">
                  <c:v>1</c:v>
                </c:pt>
                <c:pt idx="3">
                  <c:v>2</c:v>
                </c:pt>
                <c:pt idx="4">
                  <c:v>12</c:v>
                </c:pt>
              </c:numCache>
            </c:numRef>
          </c:val>
          <c:extLst>
            <c:ext xmlns:c16="http://schemas.microsoft.com/office/drawing/2014/chart" uri="{C3380CC4-5D6E-409C-BE32-E72D297353CC}">
              <c16:uniqueId val="{00000050-E9BD-487D-B605-63FF935F36A2}"/>
            </c:ext>
          </c:extLst>
        </c:ser>
        <c:ser>
          <c:idx val="8"/>
          <c:order val="8"/>
          <c:tx>
            <c:strRef>
              <c:f>PivotTable!$J$53:$J$54</c:f>
              <c:strCache>
                <c:ptCount val="1"/>
                <c:pt idx="0">
                  <c:v>Insomnia (Poor sleep), Digestive problems (acidity, constipation, bloating, etc)</c:v>
                </c:pt>
              </c:strCache>
            </c:strRef>
          </c:tx>
          <c:spPr>
            <a:noFill/>
            <a:ln w="25400" cap="flat" cmpd="sng" algn="ctr">
              <a:solidFill>
                <a:schemeClr val="accent6">
                  <a:lumMod val="80000"/>
                  <a:lumOff val="2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PivotTable!$J$55:$J$59</c:f>
              <c:numCache>
                <c:formatCode>General</c:formatCode>
                <c:ptCount val="5"/>
                <c:pt idx="4">
                  <c:v>1</c:v>
                </c:pt>
              </c:numCache>
            </c:numRef>
          </c:val>
          <c:extLst>
            <c:ext xmlns:c16="http://schemas.microsoft.com/office/drawing/2014/chart" uri="{C3380CC4-5D6E-409C-BE32-E72D297353CC}">
              <c16:uniqueId val="{00000051-E9BD-487D-B605-63FF935F36A2}"/>
            </c:ext>
          </c:extLst>
        </c:ser>
        <c:ser>
          <c:idx val="9"/>
          <c:order val="9"/>
          <c:tx>
            <c:strRef>
              <c:f>PivotTable!$K$53:$K$54</c:f>
              <c:strCache>
                <c:ptCount val="1"/>
                <c:pt idx="0">
                  <c:v>Insomnia (Poor sleep), Stress or Anxiety, Digestive problems (acidity, constipation, bloating, etc)</c:v>
                </c:pt>
              </c:strCache>
            </c:strRef>
          </c:tx>
          <c:spPr>
            <a:noFill/>
            <a:ln w="25400" cap="flat" cmpd="sng" algn="ctr">
              <a:solidFill>
                <a:schemeClr val="accent2">
                  <a:lumMod val="8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PivotTable!$K$55:$K$59</c:f>
              <c:numCache>
                <c:formatCode>General</c:formatCode>
                <c:ptCount val="5"/>
                <c:pt idx="2">
                  <c:v>1</c:v>
                </c:pt>
                <c:pt idx="4">
                  <c:v>1</c:v>
                </c:pt>
              </c:numCache>
            </c:numRef>
          </c:val>
          <c:extLst>
            <c:ext xmlns:c16="http://schemas.microsoft.com/office/drawing/2014/chart" uri="{C3380CC4-5D6E-409C-BE32-E72D297353CC}">
              <c16:uniqueId val="{00000052-E9BD-487D-B605-63FF935F36A2}"/>
            </c:ext>
          </c:extLst>
        </c:ser>
        <c:ser>
          <c:idx val="10"/>
          <c:order val="10"/>
          <c:tx>
            <c:strRef>
              <c:f>PivotTable!$L$53:$L$54</c:f>
              <c:strCache>
                <c:ptCount val="1"/>
                <c:pt idx="0">
                  <c:v>Insomnia (Poor sleep),Low immunity (fall sick often)</c:v>
                </c:pt>
              </c:strCache>
            </c:strRef>
          </c:tx>
          <c:spPr>
            <a:noFill/>
            <a:ln w="25400" cap="flat" cmpd="sng" algn="ctr">
              <a:solidFill>
                <a:schemeClr val="accent4">
                  <a:lumMod val="8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PivotTable!$L$55:$L$59</c:f>
              <c:numCache>
                <c:formatCode>General</c:formatCode>
                <c:ptCount val="5"/>
                <c:pt idx="4">
                  <c:v>2</c:v>
                </c:pt>
              </c:numCache>
            </c:numRef>
          </c:val>
          <c:extLst>
            <c:ext xmlns:c16="http://schemas.microsoft.com/office/drawing/2014/chart" uri="{C3380CC4-5D6E-409C-BE32-E72D297353CC}">
              <c16:uniqueId val="{00000053-E9BD-487D-B605-63FF935F36A2}"/>
            </c:ext>
          </c:extLst>
        </c:ser>
        <c:ser>
          <c:idx val="11"/>
          <c:order val="11"/>
          <c:tx>
            <c:strRef>
              <c:f>PivotTable!$M$53:$M$54</c:f>
              <c:strCache>
                <c:ptCount val="1"/>
                <c:pt idx="0">
                  <c:v>Low immunity (fall sick often)</c:v>
                </c:pt>
              </c:strCache>
            </c:strRef>
          </c:tx>
          <c:spPr>
            <a:noFill/>
            <a:ln w="25400" cap="flat" cmpd="sng" algn="ctr">
              <a:solidFill>
                <a:schemeClr val="accent6">
                  <a:lumMod val="8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PivotTable!$M$55:$M$59</c:f>
              <c:numCache>
                <c:formatCode>General</c:formatCode>
                <c:ptCount val="5"/>
                <c:pt idx="0">
                  <c:v>3</c:v>
                </c:pt>
                <c:pt idx="1">
                  <c:v>2</c:v>
                </c:pt>
                <c:pt idx="2">
                  <c:v>3</c:v>
                </c:pt>
                <c:pt idx="4">
                  <c:v>11</c:v>
                </c:pt>
              </c:numCache>
            </c:numRef>
          </c:val>
          <c:extLst>
            <c:ext xmlns:c16="http://schemas.microsoft.com/office/drawing/2014/chart" uri="{C3380CC4-5D6E-409C-BE32-E72D297353CC}">
              <c16:uniqueId val="{00000054-E9BD-487D-B605-63FF935F36A2}"/>
            </c:ext>
          </c:extLst>
        </c:ser>
        <c:ser>
          <c:idx val="12"/>
          <c:order val="12"/>
          <c:tx>
            <c:strRef>
              <c:f>PivotTable!$N$53:$N$54</c:f>
              <c:strCache>
                <c:ptCount val="1"/>
                <c:pt idx="0">
                  <c:v>Low immunity (fall sick often), Other</c:v>
                </c:pt>
              </c:strCache>
            </c:strRef>
          </c:tx>
          <c:spPr>
            <a:noFill/>
            <a:ln w="25400" cap="flat" cmpd="sng" algn="ctr">
              <a:solidFill>
                <a:schemeClr val="accent2">
                  <a:lumMod val="60000"/>
                  <a:lumOff val="4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PivotTable!$N$55:$N$59</c:f>
              <c:numCache>
                <c:formatCode>General</c:formatCode>
                <c:ptCount val="5"/>
                <c:pt idx="0">
                  <c:v>2</c:v>
                </c:pt>
              </c:numCache>
            </c:numRef>
          </c:val>
          <c:extLst>
            <c:ext xmlns:c16="http://schemas.microsoft.com/office/drawing/2014/chart" uri="{C3380CC4-5D6E-409C-BE32-E72D297353CC}">
              <c16:uniqueId val="{00000055-E9BD-487D-B605-63FF935F36A2}"/>
            </c:ext>
          </c:extLst>
        </c:ser>
        <c:ser>
          <c:idx val="13"/>
          <c:order val="13"/>
          <c:tx>
            <c:strRef>
              <c:f>PivotTable!$O$53:$O$54</c:f>
              <c:strCache>
                <c:ptCount val="1"/>
                <c:pt idx="0">
                  <c:v>None</c:v>
                </c:pt>
              </c:strCache>
            </c:strRef>
          </c:tx>
          <c:spPr>
            <a:noFill/>
            <a:ln w="25400" cap="flat" cmpd="sng" algn="ctr">
              <a:solidFill>
                <a:schemeClr val="accent4">
                  <a:lumMod val="60000"/>
                  <a:lumOff val="4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PivotTable!$O$55:$O$59</c:f>
              <c:numCache>
                <c:formatCode>General</c:formatCode>
                <c:ptCount val="5"/>
                <c:pt idx="0">
                  <c:v>1</c:v>
                </c:pt>
                <c:pt idx="1">
                  <c:v>2</c:v>
                </c:pt>
                <c:pt idx="2">
                  <c:v>7</c:v>
                </c:pt>
                <c:pt idx="3">
                  <c:v>11</c:v>
                </c:pt>
                <c:pt idx="4">
                  <c:v>20</c:v>
                </c:pt>
              </c:numCache>
            </c:numRef>
          </c:val>
          <c:extLst>
            <c:ext xmlns:c16="http://schemas.microsoft.com/office/drawing/2014/chart" uri="{C3380CC4-5D6E-409C-BE32-E72D297353CC}">
              <c16:uniqueId val="{00000056-E9BD-487D-B605-63FF935F36A2}"/>
            </c:ext>
          </c:extLst>
        </c:ser>
        <c:ser>
          <c:idx val="14"/>
          <c:order val="14"/>
          <c:tx>
            <c:strRef>
              <c:f>PivotTable!$P$53:$P$54</c:f>
              <c:strCache>
                <c:ptCount val="1"/>
                <c:pt idx="0">
                  <c:v>Other, Digestive problems (acidity, constipation, bloating, etc)</c:v>
                </c:pt>
              </c:strCache>
            </c:strRef>
          </c:tx>
          <c:spPr>
            <a:noFill/>
            <a:ln w="25400" cap="flat" cmpd="sng" algn="ctr">
              <a:solidFill>
                <a:schemeClr val="accent6">
                  <a:lumMod val="60000"/>
                  <a:lumOff val="4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PivotTable!$P$55:$P$59</c:f>
              <c:numCache>
                <c:formatCode>General</c:formatCode>
                <c:ptCount val="5"/>
                <c:pt idx="4">
                  <c:v>3</c:v>
                </c:pt>
              </c:numCache>
            </c:numRef>
          </c:val>
          <c:extLst>
            <c:ext xmlns:c16="http://schemas.microsoft.com/office/drawing/2014/chart" uri="{C3380CC4-5D6E-409C-BE32-E72D297353CC}">
              <c16:uniqueId val="{00000057-E9BD-487D-B605-63FF935F36A2}"/>
            </c:ext>
          </c:extLst>
        </c:ser>
        <c:ser>
          <c:idx val="15"/>
          <c:order val="15"/>
          <c:tx>
            <c:strRef>
              <c:f>PivotTable!$Q$53:$Q$54</c:f>
              <c:strCache>
                <c:ptCount val="1"/>
                <c:pt idx="0">
                  <c:v>Other,Insomnia (Poor sleep)</c:v>
                </c:pt>
              </c:strCache>
            </c:strRef>
          </c:tx>
          <c:spPr>
            <a:noFill/>
            <a:ln w="25400" cap="flat" cmpd="sng" algn="ctr">
              <a:solidFill>
                <a:schemeClr val="accent2">
                  <a:lumMod val="5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PivotTable!$Q$55:$Q$59</c:f>
              <c:numCache>
                <c:formatCode>General</c:formatCode>
                <c:ptCount val="5"/>
                <c:pt idx="0">
                  <c:v>2</c:v>
                </c:pt>
              </c:numCache>
            </c:numRef>
          </c:val>
          <c:extLst>
            <c:ext xmlns:c16="http://schemas.microsoft.com/office/drawing/2014/chart" uri="{C3380CC4-5D6E-409C-BE32-E72D297353CC}">
              <c16:uniqueId val="{00000058-E9BD-487D-B605-63FF935F36A2}"/>
            </c:ext>
          </c:extLst>
        </c:ser>
        <c:ser>
          <c:idx val="16"/>
          <c:order val="16"/>
          <c:tx>
            <c:strRef>
              <c:f>PivotTable!$R$53:$R$54</c:f>
              <c:strCache>
                <c:ptCount val="1"/>
                <c:pt idx="0">
                  <c:v>Stress or Anxiety</c:v>
                </c:pt>
              </c:strCache>
            </c:strRef>
          </c:tx>
          <c:spPr>
            <a:noFill/>
            <a:ln w="25400" cap="flat" cmpd="sng" algn="ctr">
              <a:solidFill>
                <a:schemeClr val="accent4">
                  <a:lumMod val="5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PivotTable!$R$55:$R$59</c:f>
              <c:numCache>
                <c:formatCode>General</c:formatCode>
                <c:ptCount val="5"/>
                <c:pt idx="0">
                  <c:v>1</c:v>
                </c:pt>
                <c:pt idx="1">
                  <c:v>3</c:v>
                </c:pt>
                <c:pt idx="2">
                  <c:v>1</c:v>
                </c:pt>
                <c:pt idx="3">
                  <c:v>2</c:v>
                </c:pt>
                <c:pt idx="4">
                  <c:v>4</c:v>
                </c:pt>
              </c:numCache>
            </c:numRef>
          </c:val>
          <c:extLst>
            <c:ext xmlns:c16="http://schemas.microsoft.com/office/drawing/2014/chart" uri="{C3380CC4-5D6E-409C-BE32-E72D297353CC}">
              <c16:uniqueId val="{00000059-E9BD-487D-B605-63FF935F36A2}"/>
            </c:ext>
          </c:extLst>
        </c:ser>
        <c:ser>
          <c:idx val="17"/>
          <c:order val="17"/>
          <c:tx>
            <c:strRef>
              <c:f>PivotTable!$S$53:$S$54</c:f>
              <c:strCache>
                <c:ptCount val="1"/>
                <c:pt idx="0">
                  <c:v>Stress or Anxiety, Digestive problems (acidity, constipation, bloating, etc)</c:v>
                </c:pt>
              </c:strCache>
            </c:strRef>
          </c:tx>
          <c:spPr>
            <a:noFill/>
            <a:ln w="25400" cap="flat" cmpd="sng" algn="ctr">
              <a:solidFill>
                <a:schemeClr val="accent6">
                  <a:lumMod val="50000"/>
                </a:schemeClr>
              </a:solidFill>
              <a:miter lim="800000"/>
            </a:ln>
            <a:effectLst/>
          </c:spPr>
          <c:invertIfNegative val="0"/>
          <c:cat>
            <c:strRef>
              <c:f>PivotTable!$A$55:$A$59</c:f>
              <c:strCache>
                <c:ptCount val="5"/>
                <c:pt idx="0">
                  <c:v>Every 2-3 years</c:v>
                </c:pt>
                <c:pt idx="1">
                  <c:v>Every 6 months</c:v>
                </c:pt>
                <c:pt idx="2">
                  <c:v>Never</c:v>
                </c:pt>
                <c:pt idx="3">
                  <c:v>Once a year</c:v>
                </c:pt>
                <c:pt idx="4">
                  <c:v>Only when sick</c:v>
                </c:pt>
              </c:strCache>
            </c:strRef>
          </c:cat>
          <c:val>
            <c:numRef>
              <c:f>PivotTable!$S$55:$S$59</c:f>
              <c:numCache>
                <c:formatCode>General</c:formatCode>
                <c:ptCount val="5"/>
                <c:pt idx="1">
                  <c:v>2</c:v>
                </c:pt>
                <c:pt idx="3">
                  <c:v>1</c:v>
                </c:pt>
              </c:numCache>
            </c:numRef>
          </c:val>
          <c:extLst>
            <c:ext xmlns:c16="http://schemas.microsoft.com/office/drawing/2014/chart" uri="{C3380CC4-5D6E-409C-BE32-E72D297353CC}">
              <c16:uniqueId val="{0000005A-E9BD-487D-B605-63FF935F36A2}"/>
            </c:ext>
          </c:extLst>
        </c:ser>
        <c:dLbls>
          <c:showLegendKey val="0"/>
          <c:showVal val="0"/>
          <c:showCatName val="0"/>
          <c:showSerName val="0"/>
          <c:showPercent val="0"/>
          <c:showBubbleSize val="0"/>
        </c:dLbls>
        <c:gapWidth val="227"/>
        <c:overlap val="-48"/>
        <c:axId val="977048344"/>
        <c:axId val="977054824"/>
      </c:barChart>
      <c:catAx>
        <c:axId val="97704834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977054824"/>
        <c:crosses val="autoZero"/>
        <c:auto val="1"/>
        <c:lblAlgn val="ctr"/>
        <c:lblOffset val="100"/>
        <c:noMultiLvlLbl val="0"/>
      </c:catAx>
      <c:valAx>
        <c:axId val="977054824"/>
        <c:scaling>
          <c:orientation val="minMax"/>
        </c:scaling>
        <c:delete val="0"/>
        <c:axPos val="b"/>
        <c:numFmt formatCode="General" sourceLinked="1"/>
        <c:majorTickMark val="none"/>
        <c:minorTickMark val="none"/>
        <c:tickLblPos val="nextTo"/>
        <c:spPr>
          <a:noFill/>
          <a:ln w="9525">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977048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[Lifestyle &amp; health Proj1.3.xlsm]PivotTable!PivotTable9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1">
                <a:solidFill>
                  <a:sysClr val="windowText" lastClr="000000"/>
                </a:solidFill>
              </a:rPr>
              <a:t>SUGAR</a:t>
            </a:r>
            <a:r>
              <a:rPr lang="en-IN" sz="1100" b="1" baseline="0">
                <a:solidFill>
                  <a:sysClr val="windowText" lastClr="000000"/>
                </a:solidFill>
              </a:rPr>
              <a:t> CONSUMPTION </a:t>
            </a:r>
            <a:r>
              <a:rPr lang="en-IN" sz="1200" b="1" baseline="0">
                <a:solidFill>
                  <a:sysClr val="windowText" lastClr="000000"/>
                </a:solidFill>
              </a:rPr>
              <a:t>VS</a:t>
            </a:r>
            <a:r>
              <a:rPr lang="en-IN" sz="1100" b="1" baseline="0">
                <a:solidFill>
                  <a:sysClr val="windowText" lastClr="000000"/>
                </a:solidFill>
              </a:rPr>
              <a:t> HEALTH ISSUES</a:t>
            </a:r>
            <a:endParaRPr lang="en-IN" sz="1100" b="1">
              <a:solidFill>
                <a:sysClr val="windowText" lastClr="000000"/>
              </a:solidFill>
            </a:endParaRPr>
          </a:p>
        </c:rich>
      </c:tx>
      <c:layout>
        <c:manualLayout>
          <c:xMode val="edge"/>
          <c:yMode val="edge"/>
          <c:x val="0.28699300087489066"/>
          <c:y val="9.62015164771070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PivotTable!$B$63:$B$64</c:f>
              <c:strCache>
                <c:ptCount val="1"/>
                <c:pt idx="0">
                  <c:v> Fatigue (Frequent tiredness)</c:v>
                </c:pt>
              </c:strCache>
            </c:strRef>
          </c:tx>
          <c:spPr>
            <a:solidFill>
              <a:schemeClr val="accent2"/>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PivotTable!$B$65:$B$89</c:f>
              <c:numCache>
                <c:formatCode>General</c:formatCode>
                <c:ptCount val="25"/>
                <c:pt idx="0">
                  <c:v>2</c:v>
                </c:pt>
              </c:numCache>
            </c:numRef>
          </c:val>
          <c:extLst>
            <c:ext xmlns:c16="http://schemas.microsoft.com/office/drawing/2014/chart" uri="{C3380CC4-5D6E-409C-BE32-E72D297353CC}">
              <c16:uniqueId val="{00000000-42E0-4DBD-96BF-C107A8F4F50D}"/>
            </c:ext>
          </c:extLst>
        </c:ser>
        <c:ser>
          <c:idx val="1"/>
          <c:order val="1"/>
          <c:tx>
            <c:strRef>
              <c:f>PivotTable!$C$63:$C$64</c:f>
              <c:strCache>
                <c:ptCount val="1"/>
                <c:pt idx="0">
                  <c:v> Stress/Anxiety,Insomnia (Poor sleep)</c:v>
                </c:pt>
              </c:strCache>
            </c:strRef>
          </c:tx>
          <c:spPr>
            <a:solidFill>
              <a:schemeClr val="accent4"/>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PivotTable!$C$65:$C$89</c:f>
              <c:numCache>
                <c:formatCode>General</c:formatCode>
                <c:ptCount val="25"/>
                <c:pt idx="10">
                  <c:v>2</c:v>
                </c:pt>
              </c:numCache>
            </c:numRef>
          </c:val>
          <c:extLst>
            <c:ext xmlns:c16="http://schemas.microsoft.com/office/drawing/2014/chart" uri="{C3380CC4-5D6E-409C-BE32-E72D297353CC}">
              <c16:uniqueId val="{00000001-42E0-4DBD-96BF-C107A8F4F50D}"/>
            </c:ext>
          </c:extLst>
        </c:ser>
        <c:ser>
          <c:idx val="2"/>
          <c:order val="2"/>
          <c:tx>
            <c:strRef>
              <c:f>PivotTable!$D$63:$D$64</c:f>
              <c:strCache>
                <c:ptCount val="1"/>
                <c:pt idx="0">
                  <c:v>Digestive problems (acidity, constipation, bloating, etc)</c:v>
                </c:pt>
              </c:strCache>
            </c:strRef>
          </c:tx>
          <c:spPr>
            <a:solidFill>
              <a:schemeClr val="accent6"/>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PivotTable!$D$65:$D$89</c:f>
              <c:numCache>
                <c:formatCode>General</c:formatCode>
                <c:ptCount val="25"/>
                <c:pt idx="5">
                  <c:v>1</c:v>
                </c:pt>
                <c:pt idx="7">
                  <c:v>10</c:v>
                </c:pt>
                <c:pt idx="9">
                  <c:v>2</c:v>
                </c:pt>
                <c:pt idx="23">
                  <c:v>1</c:v>
                </c:pt>
              </c:numCache>
            </c:numRef>
          </c:val>
          <c:extLst>
            <c:ext xmlns:c16="http://schemas.microsoft.com/office/drawing/2014/chart" uri="{C3380CC4-5D6E-409C-BE32-E72D297353CC}">
              <c16:uniqueId val="{00000002-42E0-4DBD-96BF-C107A8F4F50D}"/>
            </c:ext>
          </c:extLst>
        </c:ser>
        <c:ser>
          <c:idx val="3"/>
          <c:order val="3"/>
          <c:tx>
            <c:strRef>
              <c:f>PivotTable!$E$63:$E$64</c:f>
              <c:strCache>
                <c:ptCount val="1"/>
                <c:pt idx="0">
                  <c:v>Digestive problems (acidity, constipation, bloating, etc), Low immunity (fall sick often)</c:v>
                </c:pt>
              </c:strCache>
            </c:strRef>
          </c:tx>
          <c:spPr>
            <a:solidFill>
              <a:schemeClr val="accent2">
                <a:lumMod val="6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PivotTable!$E$65:$E$89</c:f>
              <c:numCache>
                <c:formatCode>General</c:formatCode>
                <c:ptCount val="25"/>
                <c:pt idx="22">
                  <c:v>2</c:v>
                </c:pt>
              </c:numCache>
            </c:numRef>
          </c:val>
          <c:extLst>
            <c:ext xmlns:c16="http://schemas.microsoft.com/office/drawing/2014/chart" uri="{C3380CC4-5D6E-409C-BE32-E72D297353CC}">
              <c16:uniqueId val="{00000003-42E0-4DBD-96BF-C107A8F4F50D}"/>
            </c:ext>
          </c:extLst>
        </c:ser>
        <c:ser>
          <c:idx val="4"/>
          <c:order val="4"/>
          <c:tx>
            <c:strRef>
              <c:f>PivotTable!$F$63:$F$64</c:f>
              <c:strCache>
                <c:ptCount val="1"/>
                <c:pt idx="0">
                  <c:v>Fatigue (Frequent tiredness)</c:v>
                </c:pt>
              </c:strCache>
            </c:strRef>
          </c:tx>
          <c:spPr>
            <a:solidFill>
              <a:schemeClr val="accent4">
                <a:lumMod val="6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PivotTable!$F$65:$F$89</c:f>
              <c:numCache>
                <c:formatCode>General</c:formatCode>
                <c:ptCount val="25"/>
                <c:pt idx="5">
                  <c:v>1</c:v>
                </c:pt>
                <c:pt idx="23">
                  <c:v>2</c:v>
                </c:pt>
              </c:numCache>
            </c:numRef>
          </c:val>
          <c:extLst>
            <c:ext xmlns:c16="http://schemas.microsoft.com/office/drawing/2014/chart" uri="{C3380CC4-5D6E-409C-BE32-E72D297353CC}">
              <c16:uniqueId val="{00000004-42E0-4DBD-96BF-C107A8F4F50D}"/>
            </c:ext>
          </c:extLst>
        </c:ser>
        <c:ser>
          <c:idx val="5"/>
          <c:order val="5"/>
          <c:tx>
            <c:strRef>
              <c:f>PivotTable!$G$63:$G$64</c:f>
              <c:strCache>
                <c:ptCount val="1"/>
                <c:pt idx="0">
                  <c:v>Fatigue (Frequent tiredness), Low immunity (fall sick often)</c:v>
                </c:pt>
              </c:strCache>
            </c:strRef>
          </c:tx>
          <c:spPr>
            <a:solidFill>
              <a:schemeClr val="accent6">
                <a:lumMod val="6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PivotTable!$G$65:$G$89</c:f>
              <c:numCache>
                <c:formatCode>General</c:formatCode>
                <c:ptCount val="25"/>
                <c:pt idx="10">
                  <c:v>2</c:v>
                </c:pt>
              </c:numCache>
            </c:numRef>
          </c:val>
          <c:extLst>
            <c:ext xmlns:c16="http://schemas.microsoft.com/office/drawing/2014/chart" uri="{C3380CC4-5D6E-409C-BE32-E72D297353CC}">
              <c16:uniqueId val="{00000005-42E0-4DBD-96BF-C107A8F4F50D}"/>
            </c:ext>
          </c:extLst>
        </c:ser>
        <c:ser>
          <c:idx val="6"/>
          <c:order val="6"/>
          <c:tx>
            <c:strRef>
              <c:f>PivotTable!$H$63:$H$64</c:f>
              <c:strCache>
                <c:ptCount val="1"/>
                <c:pt idx="0">
                  <c:v>Fatigue (Frequent tiredness), Stress or Anxiety</c:v>
                </c:pt>
              </c:strCache>
            </c:strRef>
          </c:tx>
          <c:spPr>
            <a:solidFill>
              <a:schemeClr val="accent2">
                <a:lumMod val="80000"/>
                <a:lumOff val="2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PivotTable!$H$65:$H$89</c:f>
              <c:numCache>
                <c:formatCode>General</c:formatCode>
                <c:ptCount val="25"/>
                <c:pt idx="17">
                  <c:v>1</c:v>
                </c:pt>
                <c:pt idx="18">
                  <c:v>1</c:v>
                </c:pt>
              </c:numCache>
            </c:numRef>
          </c:val>
          <c:extLst>
            <c:ext xmlns:c16="http://schemas.microsoft.com/office/drawing/2014/chart" uri="{C3380CC4-5D6E-409C-BE32-E72D297353CC}">
              <c16:uniqueId val="{00000006-42E0-4DBD-96BF-C107A8F4F50D}"/>
            </c:ext>
          </c:extLst>
        </c:ser>
        <c:ser>
          <c:idx val="7"/>
          <c:order val="7"/>
          <c:tx>
            <c:strRef>
              <c:f>PivotTable!$I$63:$I$64</c:f>
              <c:strCache>
                <c:ptCount val="1"/>
                <c:pt idx="0">
                  <c:v>Insomnia (Poor sleep)</c:v>
                </c:pt>
              </c:strCache>
            </c:strRef>
          </c:tx>
          <c:spPr>
            <a:solidFill>
              <a:schemeClr val="accent4">
                <a:lumMod val="80000"/>
                <a:lumOff val="2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PivotTable!$I$65:$I$89</c:f>
              <c:numCache>
                <c:formatCode>General</c:formatCode>
                <c:ptCount val="25"/>
                <c:pt idx="7">
                  <c:v>7</c:v>
                </c:pt>
                <c:pt idx="10">
                  <c:v>2</c:v>
                </c:pt>
                <c:pt idx="11">
                  <c:v>2</c:v>
                </c:pt>
                <c:pt idx="21">
                  <c:v>1</c:v>
                </c:pt>
                <c:pt idx="23">
                  <c:v>1</c:v>
                </c:pt>
                <c:pt idx="24">
                  <c:v>2</c:v>
                </c:pt>
              </c:numCache>
            </c:numRef>
          </c:val>
          <c:extLst>
            <c:ext xmlns:c16="http://schemas.microsoft.com/office/drawing/2014/chart" uri="{C3380CC4-5D6E-409C-BE32-E72D297353CC}">
              <c16:uniqueId val="{00000007-42E0-4DBD-96BF-C107A8F4F50D}"/>
            </c:ext>
          </c:extLst>
        </c:ser>
        <c:ser>
          <c:idx val="8"/>
          <c:order val="8"/>
          <c:tx>
            <c:strRef>
              <c:f>PivotTable!$J$63:$J$64</c:f>
              <c:strCache>
                <c:ptCount val="1"/>
                <c:pt idx="0">
                  <c:v>Insomnia (Poor sleep), Digestive problems (acidity, constipation, bloating, etc)</c:v>
                </c:pt>
              </c:strCache>
            </c:strRef>
          </c:tx>
          <c:spPr>
            <a:solidFill>
              <a:schemeClr val="accent6">
                <a:lumMod val="80000"/>
                <a:lumOff val="2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PivotTable!$J$65:$J$89</c:f>
              <c:numCache>
                <c:formatCode>General</c:formatCode>
                <c:ptCount val="25"/>
                <c:pt idx="23">
                  <c:v>1</c:v>
                </c:pt>
              </c:numCache>
            </c:numRef>
          </c:val>
          <c:extLst>
            <c:ext xmlns:c16="http://schemas.microsoft.com/office/drawing/2014/chart" uri="{C3380CC4-5D6E-409C-BE32-E72D297353CC}">
              <c16:uniqueId val="{00000008-42E0-4DBD-96BF-C107A8F4F50D}"/>
            </c:ext>
          </c:extLst>
        </c:ser>
        <c:ser>
          <c:idx val="9"/>
          <c:order val="9"/>
          <c:tx>
            <c:strRef>
              <c:f>PivotTable!$K$63:$K$64</c:f>
              <c:strCache>
                <c:ptCount val="1"/>
                <c:pt idx="0">
                  <c:v>Insomnia (Poor sleep), Stress or Anxiety, Digestive problems (acidity, constipation, bloating, etc)</c:v>
                </c:pt>
              </c:strCache>
            </c:strRef>
          </c:tx>
          <c:spPr>
            <a:solidFill>
              <a:schemeClr val="accent2">
                <a:lumMod val="8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PivotTable!$K$65:$K$89</c:f>
              <c:numCache>
                <c:formatCode>General</c:formatCode>
                <c:ptCount val="25"/>
                <c:pt idx="13">
                  <c:v>1</c:v>
                </c:pt>
                <c:pt idx="23">
                  <c:v>1</c:v>
                </c:pt>
              </c:numCache>
            </c:numRef>
          </c:val>
          <c:extLst>
            <c:ext xmlns:c16="http://schemas.microsoft.com/office/drawing/2014/chart" uri="{C3380CC4-5D6E-409C-BE32-E72D297353CC}">
              <c16:uniqueId val="{00000009-42E0-4DBD-96BF-C107A8F4F50D}"/>
            </c:ext>
          </c:extLst>
        </c:ser>
        <c:ser>
          <c:idx val="10"/>
          <c:order val="10"/>
          <c:tx>
            <c:strRef>
              <c:f>PivotTable!$L$63:$L$64</c:f>
              <c:strCache>
                <c:ptCount val="1"/>
                <c:pt idx="0">
                  <c:v>Insomnia (Poor sleep),Low immunity (fall sick often)</c:v>
                </c:pt>
              </c:strCache>
            </c:strRef>
          </c:tx>
          <c:spPr>
            <a:solidFill>
              <a:schemeClr val="accent4">
                <a:lumMod val="8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PivotTable!$L$65:$L$89</c:f>
              <c:numCache>
                <c:formatCode>General</c:formatCode>
                <c:ptCount val="25"/>
                <c:pt idx="24">
                  <c:v>2</c:v>
                </c:pt>
              </c:numCache>
            </c:numRef>
          </c:val>
          <c:extLst>
            <c:ext xmlns:c16="http://schemas.microsoft.com/office/drawing/2014/chart" uri="{C3380CC4-5D6E-409C-BE32-E72D297353CC}">
              <c16:uniqueId val="{0000000A-42E0-4DBD-96BF-C107A8F4F50D}"/>
            </c:ext>
          </c:extLst>
        </c:ser>
        <c:ser>
          <c:idx val="11"/>
          <c:order val="11"/>
          <c:tx>
            <c:strRef>
              <c:f>PivotTable!$M$63:$M$64</c:f>
              <c:strCache>
                <c:ptCount val="1"/>
                <c:pt idx="0">
                  <c:v>Low immunity (fall sick often)</c:v>
                </c:pt>
              </c:strCache>
            </c:strRef>
          </c:tx>
          <c:spPr>
            <a:solidFill>
              <a:schemeClr val="accent6">
                <a:lumMod val="8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PivotTable!$M$65:$M$89</c:f>
              <c:numCache>
                <c:formatCode>General</c:formatCode>
                <c:ptCount val="25"/>
                <c:pt idx="2">
                  <c:v>3</c:v>
                </c:pt>
                <c:pt idx="5">
                  <c:v>3</c:v>
                </c:pt>
                <c:pt idx="6">
                  <c:v>1</c:v>
                </c:pt>
                <c:pt idx="7">
                  <c:v>9</c:v>
                </c:pt>
                <c:pt idx="23">
                  <c:v>3</c:v>
                </c:pt>
              </c:numCache>
            </c:numRef>
          </c:val>
          <c:extLst>
            <c:ext xmlns:c16="http://schemas.microsoft.com/office/drawing/2014/chart" uri="{C3380CC4-5D6E-409C-BE32-E72D297353CC}">
              <c16:uniqueId val="{0000000B-42E0-4DBD-96BF-C107A8F4F50D}"/>
            </c:ext>
          </c:extLst>
        </c:ser>
        <c:ser>
          <c:idx val="12"/>
          <c:order val="12"/>
          <c:tx>
            <c:strRef>
              <c:f>PivotTable!$N$63:$N$64</c:f>
              <c:strCache>
                <c:ptCount val="1"/>
                <c:pt idx="0">
                  <c:v>Low immunity (fall sick often), Other</c:v>
                </c:pt>
              </c:strCache>
            </c:strRef>
          </c:tx>
          <c:spPr>
            <a:solidFill>
              <a:schemeClr val="accent2">
                <a:lumMod val="60000"/>
                <a:lumOff val="4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PivotTable!$N$65:$N$89</c:f>
              <c:numCache>
                <c:formatCode>General</c:formatCode>
                <c:ptCount val="25"/>
                <c:pt idx="1">
                  <c:v>2</c:v>
                </c:pt>
              </c:numCache>
            </c:numRef>
          </c:val>
          <c:extLst>
            <c:ext xmlns:c16="http://schemas.microsoft.com/office/drawing/2014/chart" uri="{C3380CC4-5D6E-409C-BE32-E72D297353CC}">
              <c16:uniqueId val="{0000000C-42E0-4DBD-96BF-C107A8F4F50D}"/>
            </c:ext>
          </c:extLst>
        </c:ser>
        <c:ser>
          <c:idx val="13"/>
          <c:order val="13"/>
          <c:tx>
            <c:strRef>
              <c:f>PivotTable!$O$63:$O$64</c:f>
              <c:strCache>
                <c:ptCount val="1"/>
                <c:pt idx="0">
                  <c:v>None</c:v>
                </c:pt>
              </c:strCache>
            </c:strRef>
          </c:tx>
          <c:spPr>
            <a:solidFill>
              <a:schemeClr val="accent4">
                <a:lumMod val="60000"/>
                <a:lumOff val="4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PivotTable!$O$65:$O$89</c:f>
              <c:numCache>
                <c:formatCode>General</c:formatCode>
                <c:ptCount val="25"/>
                <c:pt idx="4">
                  <c:v>1</c:v>
                </c:pt>
                <c:pt idx="7">
                  <c:v>12</c:v>
                </c:pt>
                <c:pt idx="8">
                  <c:v>1</c:v>
                </c:pt>
                <c:pt idx="10">
                  <c:v>14</c:v>
                </c:pt>
                <c:pt idx="12">
                  <c:v>1</c:v>
                </c:pt>
                <c:pt idx="14">
                  <c:v>1</c:v>
                </c:pt>
                <c:pt idx="15">
                  <c:v>2</c:v>
                </c:pt>
                <c:pt idx="16">
                  <c:v>1</c:v>
                </c:pt>
                <c:pt idx="23">
                  <c:v>4</c:v>
                </c:pt>
                <c:pt idx="24">
                  <c:v>4</c:v>
                </c:pt>
              </c:numCache>
            </c:numRef>
          </c:val>
          <c:extLst>
            <c:ext xmlns:c16="http://schemas.microsoft.com/office/drawing/2014/chart" uri="{C3380CC4-5D6E-409C-BE32-E72D297353CC}">
              <c16:uniqueId val="{0000000D-42E0-4DBD-96BF-C107A8F4F50D}"/>
            </c:ext>
          </c:extLst>
        </c:ser>
        <c:ser>
          <c:idx val="14"/>
          <c:order val="14"/>
          <c:tx>
            <c:strRef>
              <c:f>PivotTable!$P$63:$P$64</c:f>
              <c:strCache>
                <c:ptCount val="1"/>
                <c:pt idx="0">
                  <c:v>Other, Digestive problems (acidity, constipation, bloating, etc)</c:v>
                </c:pt>
              </c:strCache>
            </c:strRef>
          </c:tx>
          <c:spPr>
            <a:solidFill>
              <a:schemeClr val="accent6">
                <a:lumMod val="60000"/>
                <a:lumOff val="4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PivotTable!$P$65:$P$89</c:f>
              <c:numCache>
                <c:formatCode>General</c:formatCode>
                <c:ptCount val="25"/>
                <c:pt idx="5">
                  <c:v>3</c:v>
                </c:pt>
              </c:numCache>
            </c:numRef>
          </c:val>
          <c:extLst>
            <c:ext xmlns:c16="http://schemas.microsoft.com/office/drawing/2014/chart" uri="{C3380CC4-5D6E-409C-BE32-E72D297353CC}">
              <c16:uniqueId val="{0000000E-42E0-4DBD-96BF-C107A8F4F50D}"/>
            </c:ext>
          </c:extLst>
        </c:ser>
        <c:ser>
          <c:idx val="15"/>
          <c:order val="15"/>
          <c:tx>
            <c:strRef>
              <c:f>PivotTable!$Q$63:$Q$64</c:f>
              <c:strCache>
                <c:ptCount val="1"/>
                <c:pt idx="0">
                  <c:v>Other,Insomnia (Poor sleep)</c:v>
                </c:pt>
              </c:strCache>
            </c:strRef>
          </c:tx>
          <c:spPr>
            <a:solidFill>
              <a:schemeClr val="accent2">
                <a:lumMod val="5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PivotTable!$Q$65:$Q$89</c:f>
              <c:numCache>
                <c:formatCode>General</c:formatCode>
                <c:ptCount val="25"/>
                <c:pt idx="5">
                  <c:v>2</c:v>
                </c:pt>
              </c:numCache>
            </c:numRef>
          </c:val>
          <c:extLst>
            <c:ext xmlns:c16="http://schemas.microsoft.com/office/drawing/2014/chart" uri="{C3380CC4-5D6E-409C-BE32-E72D297353CC}">
              <c16:uniqueId val="{0000000F-42E0-4DBD-96BF-C107A8F4F50D}"/>
            </c:ext>
          </c:extLst>
        </c:ser>
        <c:ser>
          <c:idx val="16"/>
          <c:order val="16"/>
          <c:tx>
            <c:strRef>
              <c:f>PivotTable!$R$63:$R$64</c:f>
              <c:strCache>
                <c:ptCount val="1"/>
                <c:pt idx="0">
                  <c:v>Stress or Anxiety</c:v>
                </c:pt>
              </c:strCache>
            </c:strRef>
          </c:tx>
          <c:spPr>
            <a:solidFill>
              <a:schemeClr val="accent4">
                <a:lumMod val="5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PivotTable!$R$65:$R$89</c:f>
              <c:numCache>
                <c:formatCode>General</c:formatCode>
                <c:ptCount val="25"/>
                <c:pt idx="2">
                  <c:v>2</c:v>
                </c:pt>
                <c:pt idx="3">
                  <c:v>1</c:v>
                </c:pt>
                <c:pt idx="5">
                  <c:v>1</c:v>
                </c:pt>
                <c:pt idx="7">
                  <c:v>5</c:v>
                </c:pt>
                <c:pt idx="19">
                  <c:v>1</c:v>
                </c:pt>
                <c:pt idx="20">
                  <c:v>1</c:v>
                </c:pt>
              </c:numCache>
            </c:numRef>
          </c:val>
          <c:extLst>
            <c:ext xmlns:c16="http://schemas.microsoft.com/office/drawing/2014/chart" uri="{C3380CC4-5D6E-409C-BE32-E72D297353CC}">
              <c16:uniqueId val="{00000010-42E0-4DBD-96BF-C107A8F4F50D}"/>
            </c:ext>
          </c:extLst>
        </c:ser>
        <c:ser>
          <c:idx val="17"/>
          <c:order val="17"/>
          <c:tx>
            <c:strRef>
              <c:f>PivotTable!$S$63:$S$64</c:f>
              <c:strCache>
                <c:ptCount val="1"/>
                <c:pt idx="0">
                  <c:v>Stress or Anxiety, Digestive problems (acidity, constipation, bloating, etc)</c:v>
                </c:pt>
              </c:strCache>
            </c:strRef>
          </c:tx>
          <c:spPr>
            <a:solidFill>
              <a:schemeClr val="accent6">
                <a:lumMod val="50000"/>
              </a:schemeClr>
            </a:solidFill>
            <a:ln>
              <a:noFill/>
            </a:ln>
            <a:effectLst/>
          </c:spPr>
          <c:invertIfNegative val="0"/>
          <c:cat>
            <c:strRef>
              <c:f>PivotTable!$A$65:$A$89</c:f>
              <c:strCache>
                <c:ptCount val="25"/>
                <c:pt idx="0">
                  <c:v> None</c:v>
                </c:pt>
                <c:pt idx="1">
                  <c:v> Sugary drinks</c:v>
                </c:pt>
                <c:pt idx="2">
                  <c:v>Bakery product</c:v>
                </c:pt>
                <c:pt idx="3">
                  <c:v>Bakery product, Indian sweets</c:v>
                </c:pt>
                <c:pt idx="4">
                  <c:v>Bakery product, Sugary drinks</c:v>
                </c:pt>
                <c:pt idx="5">
                  <c:v>Bakery sweets</c:v>
                </c:pt>
                <c:pt idx="6">
                  <c:v>Bakery sweets , Indian sweets</c:v>
                </c:pt>
                <c:pt idx="7">
                  <c:v>Indian sweets</c:v>
                </c:pt>
                <c:pt idx="8">
                  <c:v>Indian sweets, Sugary drinks</c:v>
                </c:pt>
                <c:pt idx="9">
                  <c:v>Indian sweets,Sugary drinks</c:v>
                </c:pt>
                <c:pt idx="10">
                  <c:v>None</c:v>
                </c:pt>
                <c:pt idx="11">
                  <c:v>Packaged sweet</c:v>
                </c:pt>
                <c:pt idx="12">
                  <c:v>Packaged sweet, Bakery product</c:v>
                </c:pt>
                <c:pt idx="13">
                  <c:v>Packaged sweet, Bakery product, Indian sweets, Sugary drinks</c:v>
                </c:pt>
                <c:pt idx="14">
                  <c:v>Packaged sweet, Bakery product, Sugary drinks</c:v>
                </c:pt>
                <c:pt idx="15">
                  <c:v>Packaged sweet, Indian sweets</c:v>
                </c:pt>
                <c:pt idx="16">
                  <c:v>Packaged sweet, Indian sweets, Sugary drinks</c:v>
                </c:pt>
                <c:pt idx="17">
                  <c:v>Packaged sweet, Sugary drinks</c:v>
                </c:pt>
                <c:pt idx="18">
                  <c:v>Packaged sweets</c:v>
                </c:pt>
                <c:pt idx="19">
                  <c:v>Packaged sweets , Bakery sweets</c:v>
                </c:pt>
                <c:pt idx="20">
                  <c:v>Packaged sweets , Bakery sweets , Indian sweets</c:v>
                </c:pt>
                <c:pt idx="21">
                  <c:v>Packaged sweets , Sugary drinks</c:v>
                </c:pt>
                <c:pt idx="22">
                  <c:v>Packaged sweets ,Sugary drinks</c:v>
                </c:pt>
                <c:pt idx="23">
                  <c:v>Sugary drinks</c:v>
                </c:pt>
                <c:pt idx="24">
                  <c:v>Sugary drinks, Indian sweets</c:v>
                </c:pt>
              </c:strCache>
            </c:strRef>
          </c:cat>
          <c:val>
            <c:numRef>
              <c:f>PivotTable!$S$65:$S$89</c:f>
              <c:numCache>
                <c:formatCode>General</c:formatCode>
                <c:ptCount val="25"/>
                <c:pt idx="7">
                  <c:v>1</c:v>
                </c:pt>
                <c:pt idx="19">
                  <c:v>1</c:v>
                </c:pt>
                <c:pt idx="20">
                  <c:v>1</c:v>
                </c:pt>
              </c:numCache>
            </c:numRef>
          </c:val>
          <c:extLst>
            <c:ext xmlns:c16="http://schemas.microsoft.com/office/drawing/2014/chart" uri="{C3380CC4-5D6E-409C-BE32-E72D297353CC}">
              <c16:uniqueId val="{00000011-42E0-4DBD-96BF-C107A8F4F50D}"/>
            </c:ext>
          </c:extLst>
        </c:ser>
        <c:dLbls>
          <c:showLegendKey val="0"/>
          <c:showVal val="0"/>
          <c:showCatName val="0"/>
          <c:showSerName val="0"/>
          <c:showPercent val="0"/>
          <c:showBubbleSize val="0"/>
        </c:dLbls>
        <c:gapWidth val="150"/>
        <c:overlap val="100"/>
        <c:axId val="992412168"/>
        <c:axId val="992412528"/>
      </c:barChart>
      <c:catAx>
        <c:axId val="992412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412528"/>
        <c:crosses val="autoZero"/>
        <c:auto val="1"/>
        <c:lblAlgn val="ctr"/>
        <c:lblOffset val="100"/>
        <c:noMultiLvlLbl val="0"/>
      </c:catAx>
      <c:valAx>
        <c:axId val="9924125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412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[Lifestyle &amp; health Proj1.3.xlsm]PivotTable!PivotTable1</c:name>
    <c:fmtId val="2"/>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sz="1100">
                <a:solidFill>
                  <a:sysClr val="windowText" lastClr="000000"/>
                </a:solidFill>
              </a:rPr>
              <a:t>geNDER </a:t>
            </a:r>
            <a:r>
              <a:rPr lang="en-IN" sz="1200">
                <a:solidFill>
                  <a:sysClr val="windowText" lastClr="000000"/>
                </a:solidFill>
              </a:rPr>
              <a:t>VS</a:t>
            </a:r>
            <a:r>
              <a:rPr lang="en-IN" sz="1100" baseline="0">
                <a:solidFill>
                  <a:sysClr val="windowText" lastClr="000000"/>
                </a:solidFill>
              </a:rPr>
              <a:t> BMI CATEGORY</a:t>
            </a:r>
            <a:endParaRPr lang="en-IN" sz="1100">
              <a:solidFill>
                <a:sysClr val="windowText" lastClr="000000"/>
              </a:solidFill>
            </a:endParaRPr>
          </a:p>
        </c:rich>
      </c:tx>
      <c:layout>
        <c:manualLayout>
          <c:xMode val="edge"/>
          <c:yMode val="edge"/>
          <c:x val="0.30331933508311459"/>
          <c:y val="0.11934966462525518"/>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479887953268318E-2"/>
          <c:y val="0.26187130718249257"/>
          <c:w val="0.7632801837270341"/>
          <c:h val="0.54904017206182565"/>
        </c:manualLayout>
      </c:layout>
      <c:barChart>
        <c:barDir val="col"/>
        <c:grouping val="clustered"/>
        <c:varyColors val="0"/>
        <c:ser>
          <c:idx val="0"/>
          <c:order val="0"/>
          <c:tx>
            <c:strRef>
              <c:f>PivotTable!$B$3:$B$4</c:f>
              <c:strCache>
                <c:ptCount val="1"/>
                <c:pt idx="0">
                  <c:v>Female</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PivotTable!$A$5:$A$8</c:f>
              <c:strCache>
                <c:ptCount val="4"/>
                <c:pt idx="0">
                  <c:v>Normal</c:v>
                </c:pt>
                <c:pt idx="1">
                  <c:v>obese</c:v>
                </c:pt>
                <c:pt idx="2">
                  <c:v>Overweight</c:v>
                </c:pt>
                <c:pt idx="3">
                  <c:v>Underweight</c:v>
                </c:pt>
              </c:strCache>
            </c:strRef>
          </c:cat>
          <c:val>
            <c:numRef>
              <c:f>PivotTable!$B$5:$B$8</c:f>
              <c:numCache>
                <c:formatCode>General</c:formatCode>
                <c:ptCount val="4"/>
                <c:pt idx="0">
                  <c:v>19</c:v>
                </c:pt>
                <c:pt idx="1">
                  <c:v>4</c:v>
                </c:pt>
                <c:pt idx="2">
                  <c:v>11</c:v>
                </c:pt>
                <c:pt idx="3">
                  <c:v>10</c:v>
                </c:pt>
              </c:numCache>
            </c:numRef>
          </c:val>
          <c:extLst>
            <c:ext xmlns:c16="http://schemas.microsoft.com/office/drawing/2014/chart" uri="{C3380CC4-5D6E-409C-BE32-E72D297353CC}">
              <c16:uniqueId val="{00000000-8820-4974-A95E-490F79761C22}"/>
            </c:ext>
          </c:extLst>
        </c:ser>
        <c:ser>
          <c:idx val="1"/>
          <c:order val="1"/>
          <c:tx>
            <c:strRef>
              <c:f>PivotTable!$C$3:$C$4</c:f>
              <c:strCache>
                <c:ptCount val="1"/>
                <c:pt idx="0">
                  <c:v>Male</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cat>
            <c:strRef>
              <c:f>PivotTable!$A$5:$A$8</c:f>
              <c:strCache>
                <c:ptCount val="4"/>
                <c:pt idx="0">
                  <c:v>Normal</c:v>
                </c:pt>
                <c:pt idx="1">
                  <c:v>obese</c:v>
                </c:pt>
                <c:pt idx="2">
                  <c:v>Overweight</c:v>
                </c:pt>
                <c:pt idx="3">
                  <c:v>Underweight</c:v>
                </c:pt>
              </c:strCache>
            </c:strRef>
          </c:cat>
          <c:val>
            <c:numRef>
              <c:f>PivotTable!$C$5:$C$8</c:f>
              <c:numCache>
                <c:formatCode>General</c:formatCode>
                <c:ptCount val="4"/>
                <c:pt idx="0">
                  <c:v>47</c:v>
                </c:pt>
                <c:pt idx="1">
                  <c:v>8</c:v>
                </c:pt>
                <c:pt idx="2">
                  <c:v>25</c:v>
                </c:pt>
                <c:pt idx="3">
                  <c:v>4</c:v>
                </c:pt>
              </c:numCache>
            </c:numRef>
          </c:val>
          <c:extLst>
            <c:ext xmlns:c16="http://schemas.microsoft.com/office/drawing/2014/chart" uri="{C3380CC4-5D6E-409C-BE32-E72D297353CC}">
              <c16:uniqueId val="{00000002-D59C-45CC-92D5-C8E101E5F047}"/>
            </c:ext>
          </c:extLst>
        </c:ser>
        <c:dLbls>
          <c:showLegendKey val="0"/>
          <c:showVal val="0"/>
          <c:showCatName val="0"/>
          <c:showSerName val="0"/>
          <c:showPercent val="0"/>
          <c:showBubbleSize val="0"/>
        </c:dLbls>
        <c:gapWidth val="164"/>
        <c:overlap val="-22"/>
        <c:axId val="407495856"/>
        <c:axId val="515839232"/>
      </c:barChart>
      <c:catAx>
        <c:axId val="40749585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9232"/>
        <c:crosses val="autoZero"/>
        <c:auto val="1"/>
        <c:lblAlgn val="ctr"/>
        <c:lblOffset val="100"/>
        <c:noMultiLvlLbl val="0"/>
      </c:catAx>
      <c:valAx>
        <c:axId val="5158392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95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552450</xdr:colOff>
          <xdr:row>3</xdr:row>
          <xdr:rowOff>123825</xdr:rowOff>
        </xdr:from>
        <xdr:to>
          <xdr:col>24</xdr:col>
          <xdr:colOff>419100</xdr:colOff>
          <xdr:row>6</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514348</xdr:colOff>
      <xdr:row>0</xdr:row>
      <xdr:rowOff>9523</xdr:rowOff>
    </xdr:from>
    <xdr:to>
      <xdr:col>13</xdr:col>
      <xdr:colOff>531148</xdr:colOff>
      <xdr:row>3</xdr:row>
      <xdr:rowOff>50023</xdr:rowOff>
    </xdr:to>
    <xdr:sp macro="" textlink="">
      <xdr:nvSpPr>
        <xdr:cNvPr id="2" name="Rectangle 1">
          <a:extLst>
            <a:ext uri="{FF2B5EF4-FFF2-40B4-BE49-F238E27FC236}">
              <a16:creationId xmlns:a16="http://schemas.microsoft.com/office/drawing/2014/main" id="{B88A740D-41E5-4212-9E36-8A730EF95CB6}"/>
            </a:ext>
          </a:extLst>
        </xdr:cNvPr>
        <xdr:cNvSpPr/>
      </xdr:nvSpPr>
      <xdr:spPr>
        <a:xfrm>
          <a:off x="4171948" y="9523"/>
          <a:ext cx="4284000" cy="61200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ctr"/>
          <a:r>
            <a:rPr lang="en-IN" sz="2400" b="1"/>
            <a:t>LIFESTYLE</a:t>
          </a:r>
          <a:r>
            <a:rPr lang="en-IN" sz="2400"/>
            <a:t> </a:t>
          </a:r>
          <a:r>
            <a:rPr lang="en-IN" sz="2400" b="1"/>
            <a:t>&amp;</a:t>
          </a:r>
          <a:r>
            <a:rPr lang="en-IN" sz="2400"/>
            <a:t> </a:t>
          </a:r>
          <a:r>
            <a:rPr lang="en-IN" sz="2400" b="1"/>
            <a:t>HEALTH</a:t>
          </a:r>
          <a:r>
            <a:rPr lang="en-IN" sz="2400"/>
            <a:t> </a:t>
          </a:r>
          <a:r>
            <a:rPr lang="en-IN" sz="2400" b="1"/>
            <a:t>ANALYSIS</a:t>
          </a:r>
        </a:p>
      </xdr:txBody>
    </xdr:sp>
    <xdr:clientData/>
  </xdr:twoCellAnchor>
  <xdr:twoCellAnchor>
    <xdr:from>
      <xdr:col>7</xdr:col>
      <xdr:colOff>390524</xdr:colOff>
      <xdr:row>4</xdr:row>
      <xdr:rowOff>171451</xdr:rowOff>
    </xdr:from>
    <xdr:to>
      <xdr:col>15</xdr:col>
      <xdr:colOff>76199</xdr:colOff>
      <xdr:row>17</xdr:row>
      <xdr:rowOff>34951</xdr:rowOff>
    </xdr:to>
    <xdr:graphicFrame macro="">
      <xdr:nvGraphicFramePr>
        <xdr:cNvPr id="4" name="Chart 3">
          <a:extLst>
            <a:ext uri="{FF2B5EF4-FFF2-40B4-BE49-F238E27FC236}">
              <a16:creationId xmlns:a16="http://schemas.microsoft.com/office/drawing/2014/main" id="{74AFA533-644D-41E3-AF0F-BF68622B4F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133350</xdr:colOff>
      <xdr:row>17</xdr:row>
      <xdr:rowOff>114299</xdr:rowOff>
    </xdr:from>
    <xdr:to>
      <xdr:col>22</xdr:col>
      <xdr:colOff>449961</xdr:colOff>
      <xdr:row>29</xdr:row>
      <xdr:rowOff>180975</xdr:rowOff>
    </xdr:to>
    <xdr:graphicFrame macro="">
      <xdr:nvGraphicFramePr>
        <xdr:cNvPr id="6" name="Chart 5">
          <a:extLst>
            <a:ext uri="{FF2B5EF4-FFF2-40B4-BE49-F238E27FC236}">
              <a16:creationId xmlns:a16="http://schemas.microsoft.com/office/drawing/2014/main" id="{69ED0F8A-3EBF-4F81-A488-F3781009B3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114299</xdr:colOff>
      <xdr:row>17</xdr:row>
      <xdr:rowOff>114299</xdr:rowOff>
    </xdr:from>
    <xdr:to>
      <xdr:col>7</xdr:col>
      <xdr:colOff>342901</xdr:colOff>
      <xdr:row>29</xdr:row>
      <xdr:rowOff>168299</xdr:rowOff>
    </xdr:to>
    <xdr:graphicFrame macro="">
      <xdr:nvGraphicFramePr>
        <xdr:cNvPr id="7" name="Chart 6">
          <a:extLst>
            <a:ext uri="{FF2B5EF4-FFF2-40B4-BE49-F238E27FC236}">
              <a16:creationId xmlns:a16="http://schemas.microsoft.com/office/drawing/2014/main" id="{FE47DDBF-E1C1-40EF-BADA-E76F1B01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400047</xdr:colOff>
      <xdr:row>17</xdr:row>
      <xdr:rowOff>114300</xdr:rowOff>
    </xdr:from>
    <xdr:to>
      <xdr:col>15</xdr:col>
      <xdr:colOff>85725</xdr:colOff>
      <xdr:row>30</xdr:row>
      <xdr:rowOff>381</xdr:rowOff>
    </xdr:to>
    <xdr:graphicFrame macro="">
      <xdr:nvGraphicFramePr>
        <xdr:cNvPr id="8" name="Chart 7">
          <a:extLst>
            <a:ext uri="{FF2B5EF4-FFF2-40B4-BE49-F238E27FC236}">
              <a16:creationId xmlns:a16="http://schemas.microsoft.com/office/drawing/2014/main" id="{D1867ACA-901E-43B5-ABCE-E05190480F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104773</xdr:colOff>
      <xdr:row>30</xdr:row>
      <xdr:rowOff>57153</xdr:rowOff>
    </xdr:from>
    <xdr:to>
      <xdr:col>7</xdr:col>
      <xdr:colOff>342900</xdr:colOff>
      <xdr:row>42</xdr:row>
      <xdr:rowOff>95250</xdr:rowOff>
    </xdr:to>
    <xdr:graphicFrame macro="">
      <xdr:nvGraphicFramePr>
        <xdr:cNvPr id="9" name="Chart 8">
          <a:extLst>
            <a:ext uri="{FF2B5EF4-FFF2-40B4-BE49-F238E27FC236}">
              <a16:creationId xmlns:a16="http://schemas.microsoft.com/office/drawing/2014/main" id="{06A9DA1A-0740-444F-934B-2D7444F376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400050</xdr:colOff>
      <xdr:row>30</xdr:row>
      <xdr:rowOff>57153</xdr:rowOff>
    </xdr:from>
    <xdr:to>
      <xdr:col>15</xdr:col>
      <xdr:colOff>104775</xdr:colOff>
      <xdr:row>42</xdr:row>
      <xdr:rowOff>66675</xdr:rowOff>
    </xdr:to>
    <xdr:graphicFrame macro="">
      <xdr:nvGraphicFramePr>
        <xdr:cNvPr id="11" name="Chart 10">
          <a:extLst>
            <a:ext uri="{FF2B5EF4-FFF2-40B4-BE49-F238E27FC236}">
              <a16:creationId xmlns:a16="http://schemas.microsoft.com/office/drawing/2014/main" id="{3BB1CF27-94E5-45B3-9AE3-CDE711B68E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152399</xdr:colOff>
      <xdr:row>30</xdr:row>
      <xdr:rowOff>57151</xdr:rowOff>
    </xdr:from>
    <xdr:to>
      <xdr:col>22</xdr:col>
      <xdr:colOff>476250</xdr:colOff>
      <xdr:row>42</xdr:row>
      <xdr:rowOff>66675</xdr:rowOff>
    </xdr:to>
    <xdr:graphicFrame macro="">
      <xdr:nvGraphicFramePr>
        <xdr:cNvPr id="13" name="Chart 12">
          <a:extLst>
            <a:ext uri="{FF2B5EF4-FFF2-40B4-BE49-F238E27FC236}">
              <a16:creationId xmlns:a16="http://schemas.microsoft.com/office/drawing/2014/main" id="{226176E5-8410-47AF-BE8A-2F55CE363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571500</xdr:colOff>
      <xdr:row>0</xdr:row>
      <xdr:rowOff>95250</xdr:rowOff>
    </xdr:from>
    <xdr:to>
      <xdr:col>5</xdr:col>
      <xdr:colOff>523875</xdr:colOff>
      <xdr:row>4</xdr:row>
      <xdr:rowOff>57150</xdr:rowOff>
    </xdr:to>
    <xdr:sp macro="" textlink="">
      <xdr:nvSpPr>
        <xdr:cNvPr id="12" name="Arrow: Notched Right 11">
          <a:extLst>
            <a:ext uri="{FF2B5EF4-FFF2-40B4-BE49-F238E27FC236}">
              <a16:creationId xmlns:a16="http://schemas.microsoft.com/office/drawing/2014/main" id="{8F2C1188-FC42-F120-B153-AADA7A4E5A2F}"/>
            </a:ext>
          </a:extLst>
        </xdr:cNvPr>
        <xdr:cNvSpPr/>
      </xdr:nvSpPr>
      <xdr:spPr>
        <a:xfrm>
          <a:off x="1790700" y="95250"/>
          <a:ext cx="1781175" cy="723900"/>
        </a:xfrm>
        <a:prstGeom prst="notchedRightArrow">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l"/>
          <a:r>
            <a:rPr lang="en-IN" sz="1200" b="1"/>
            <a:t>HEALTHY PEOPLE</a:t>
          </a:r>
        </a:p>
      </xdr:txBody>
    </xdr:sp>
    <xdr:clientData/>
  </xdr:twoCellAnchor>
  <xdr:twoCellAnchor>
    <xdr:from>
      <xdr:col>1</xdr:col>
      <xdr:colOff>466725</xdr:colOff>
      <xdr:row>0</xdr:row>
      <xdr:rowOff>180975</xdr:rowOff>
    </xdr:from>
    <xdr:to>
      <xdr:col>3</xdr:col>
      <xdr:colOff>142875</xdr:colOff>
      <xdr:row>3</xdr:row>
      <xdr:rowOff>152400</xdr:rowOff>
    </xdr:to>
    <xdr:sp macro="" textlink="Normal_BMI">
      <xdr:nvSpPr>
        <xdr:cNvPr id="14" name="Oval 13">
          <a:extLst>
            <a:ext uri="{FF2B5EF4-FFF2-40B4-BE49-F238E27FC236}">
              <a16:creationId xmlns:a16="http://schemas.microsoft.com/office/drawing/2014/main" id="{4881815B-2F9C-5821-90D8-D66BA81F1947}"/>
            </a:ext>
          </a:extLst>
        </xdr:cNvPr>
        <xdr:cNvSpPr/>
      </xdr:nvSpPr>
      <xdr:spPr>
        <a:xfrm>
          <a:off x="1076325" y="180975"/>
          <a:ext cx="895350" cy="542925"/>
        </a:xfrm>
        <a:prstGeom prst="ellipse">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fld id="{2993BCF8-3C3E-4784-B85D-907A4D8692E8}" type="TxLink">
            <a:rPr lang="en-US" sz="1100" b="0" i="0" u="none" strike="noStrike">
              <a:solidFill>
                <a:srgbClr val="000000"/>
              </a:solidFill>
              <a:latin typeface="Calibri"/>
              <a:cs typeface="Calibri"/>
            </a:rPr>
            <a:pPr algn="l"/>
            <a:t>52.00%</a:t>
          </a:fld>
          <a:endParaRPr lang="en-IN" sz="1100"/>
        </a:p>
      </xdr:txBody>
    </xdr:sp>
    <xdr:clientData/>
  </xdr:twoCellAnchor>
  <xdr:twoCellAnchor>
    <xdr:from>
      <xdr:col>0</xdr:col>
      <xdr:colOff>133351</xdr:colOff>
      <xdr:row>4</xdr:row>
      <xdr:rowOff>171449</xdr:rowOff>
    </xdr:from>
    <xdr:to>
      <xdr:col>7</xdr:col>
      <xdr:colOff>330151</xdr:colOff>
      <xdr:row>17</xdr:row>
      <xdr:rowOff>34949</xdr:rowOff>
    </xdr:to>
    <xdr:graphicFrame macro="">
      <xdr:nvGraphicFramePr>
        <xdr:cNvPr id="3" name="Chart 2">
          <a:extLst>
            <a:ext uri="{FF2B5EF4-FFF2-40B4-BE49-F238E27FC236}">
              <a16:creationId xmlns:a16="http://schemas.microsoft.com/office/drawing/2014/main" id="{A5C233AE-4F7E-4B43-8B0B-CAABD65D28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18</xdr:col>
      <xdr:colOff>190500</xdr:colOff>
      <xdr:row>4</xdr:row>
      <xdr:rowOff>161925</xdr:rowOff>
    </xdr:from>
    <xdr:to>
      <xdr:col>21</xdr:col>
      <xdr:colOff>190500</xdr:colOff>
      <xdr:row>17</xdr:row>
      <xdr:rowOff>19050</xdr:rowOff>
    </xdr:to>
    <mc:AlternateContent xmlns:mc="http://schemas.openxmlformats.org/markup-compatibility/2006" xmlns:a14="http://schemas.microsoft.com/office/drawing/2010/main">
      <mc:Choice Requires="a14">
        <xdr:graphicFrame macro="">
          <xdr:nvGraphicFramePr>
            <xdr:cNvPr id="15" name="BMI_Category">
              <a:extLst>
                <a:ext uri="{FF2B5EF4-FFF2-40B4-BE49-F238E27FC236}">
                  <a16:creationId xmlns:a16="http://schemas.microsoft.com/office/drawing/2014/main" id="{06EE076D-1BC7-27A2-2A14-49C8892583CE}"/>
                </a:ext>
              </a:extLst>
            </xdr:cNvPr>
            <xdr:cNvGraphicFramePr/>
          </xdr:nvGraphicFramePr>
          <xdr:xfrm>
            <a:off x="0" y="0"/>
            <a:ext cx="0" cy="0"/>
          </xdr:xfrm>
          <a:graphic>
            <a:graphicData uri="http://schemas.microsoft.com/office/drawing/2010/slicer">
              <sle:slicer xmlns:sle="http://schemas.microsoft.com/office/drawing/2010/slicer" name="BMI_Category"/>
            </a:graphicData>
          </a:graphic>
        </xdr:graphicFrame>
      </mc:Choice>
      <mc:Fallback xmlns="">
        <xdr:sp macro="" textlink="">
          <xdr:nvSpPr>
            <xdr:cNvPr id="0" name=""/>
            <xdr:cNvSpPr>
              <a:spLocks noTextEdit="1"/>
            </xdr:cNvSpPr>
          </xdr:nvSpPr>
          <xdr:spPr>
            <a:xfrm>
              <a:off x="11163300" y="923925"/>
              <a:ext cx="1828800" cy="2333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123825</xdr:colOff>
      <xdr:row>4</xdr:row>
      <xdr:rowOff>171451</xdr:rowOff>
    </xdr:from>
    <xdr:to>
      <xdr:col>18</xdr:col>
      <xdr:colOff>123825</xdr:colOff>
      <xdr:row>17</xdr:row>
      <xdr:rowOff>28575</xdr:rowOff>
    </xdr:to>
    <mc:AlternateContent xmlns:mc="http://schemas.openxmlformats.org/markup-compatibility/2006" xmlns:a14="http://schemas.microsoft.com/office/drawing/2010/main">
      <mc:Choice Requires="a14">
        <xdr:graphicFrame macro="">
          <xdr:nvGraphicFramePr>
            <xdr:cNvPr id="16" name="Health issues">
              <a:extLst>
                <a:ext uri="{FF2B5EF4-FFF2-40B4-BE49-F238E27FC236}">
                  <a16:creationId xmlns:a16="http://schemas.microsoft.com/office/drawing/2014/main" id="{86E614A4-45A1-21F9-A7D5-A06AC1A690A0}"/>
                </a:ext>
              </a:extLst>
            </xdr:cNvPr>
            <xdr:cNvGraphicFramePr/>
          </xdr:nvGraphicFramePr>
          <xdr:xfrm>
            <a:off x="0" y="0"/>
            <a:ext cx="0" cy="0"/>
          </xdr:xfrm>
          <a:graphic>
            <a:graphicData uri="http://schemas.microsoft.com/office/drawing/2010/slicer">
              <sle:slicer xmlns:sle="http://schemas.microsoft.com/office/drawing/2010/slicer" name="Health issues"/>
            </a:graphicData>
          </a:graphic>
        </xdr:graphicFrame>
      </mc:Choice>
      <mc:Fallback xmlns="">
        <xdr:sp macro="" textlink="">
          <xdr:nvSpPr>
            <xdr:cNvPr id="0" name=""/>
            <xdr:cNvSpPr>
              <a:spLocks noTextEdit="1"/>
            </xdr:cNvSpPr>
          </xdr:nvSpPr>
          <xdr:spPr>
            <a:xfrm>
              <a:off x="9267825" y="933451"/>
              <a:ext cx="1828800" cy="23336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61.808182638888" createdVersion="8" refreshedVersion="8" minRefreshableVersion="3" recordCount="128" xr:uid="{4BD5E060-CDC8-4B3B-9E89-9CEDAF94A7A7}">
  <cacheSource type="worksheet">
    <worksheetSource name="Table1_2"/>
  </cacheSource>
  <cacheFields count="20">
    <cacheField name="Age Group" numFmtId="0">
      <sharedItems/>
    </cacheField>
    <cacheField name="Gender" numFmtId="0">
      <sharedItems/>
    </cacheField>
    <cacheField name="Height(in cm)" numFmtId="0">
      <sharedItems containsSemiMixedTypes="0" containsString="0" containsNumber="1" minValue="147" maxValue="186"/>
    </cacheField>
    <cacheField name="Weight(in kg)" numFmtId="0">
      <sharedItems containsSemiMixedTypes="0" containsString="0" containsNumber="1" containsInteger="1" minValue="34" maxValue="95"/>
    </cacheField>
    <cacheField name="Type of diet" numFmtId="0">
      <sharedItems/>
    </cacheField>
    <cacheField name="Oily foods consumption" numFmtId="0">
      <sharedItems/>
    </cacheField>
    <cacheField name="fruits and vegetables consumption frequncy" numFmtId="0">
      <sharedItems/>
    </cacheField>
    <cacheField name="Fast food consumption frequency" numFmtId="0">
      <sharedItems/>
    </cacheField>
    <cacheField name="Sugary products consumption" numFmtId="0">
      <sharedItems count="25">
        <s v="Indian sweets"/>
        <s v="None"/>
        <s v="Bakery sweets"/>
        <s v="Packaged sweet, Bakery product"/>
        <s v="Packaged sweet, Sugary drinks"/>
        <s v="Packaged sweet, Indian sweets, Sugary drinks"/>
        <s v="Sugary drinks"/>
        <s v="Packaged sweet, Indian sweets"/>
        <s v=" None"/>
        <s v="Packaged sweet"/>
        <s v="Bakery product"/>
        <s v="Sugary drinks, Indian sweets"/>
        <s v="Packaged sweet, Bakery product, Indian sweets, Sugary drinks"/>
        <s v="Packaged sweets , Sugary drinks"/>
        <s v="Packaged sweet, Bakery product, Sugary drinks"/>
        <s v="Indian sweets,Sugary drinks"/>
        <s v="Packaged sweets"/>
        <s v="Bakery product, Sugary drinks"/>
        <s v="Indian sweets, Sugary drinks"/>
        <s v="Bakery product, Indian sweets"/>
        <s v="Packaged sweets , Bakery sweets"/>
        <s v="Packaged sweets , Bakery sweets , Indian sweets"/>
        <s v="Bakery sweets , Indian sweets"/>
        <s v=" Sugary drinks"/>
        <s v="Packaged sweets ,Sugary drinks"/>
      </sharedItems>
    </cacheField>
    <cacheField name="Physical activity perform" numFmtId="0">
      <sharedItems/>
    </cacheField>
    <cacheField name="Type of physical activity" numFmtId="0">
      <sharedItems/>
    </cacheField>
    <cacheField name="Physical activity frequency" numFmtId="0">
      <sharedItems/>
    </cacheField>
    <cacheField name="Health issues" numFmtId="0">
      <sharedItems count="18">
        <s v="None"/>
        <s v="Low immunity (fall sick often)"/>
        <s v="Digestive problems (acidity, constipation, bloating, etc)"/>
        <s v="Fatigue (Frequent tiredness)"/>
        <s v="Stress or Anxiety"/>
        <s v="Fatigue (Frequent tiredness), Stress or Anxiety"/>
        <s v="Insomnia (Poor sleep), Digestive problems (acidity, constipation, bloating, etc)"/>
        <s v="Insomnia (Poor sleep)"/>
        <s v=" Fatigue (Frequent tiredness)"/>
        <s v="Other, Digestive problems (acidity, constipation, bloating, etc)"/>
        <s v=" Stress/Anxiety,Insomnia (Poor sleep)"/>
        <s v="Insomnia (Poor sleep), Stress or Anxiety, Digestive problems (acidity, constipation, bloating, etc)"/>
        <s v="Insomnia (Poor sleep),Low immunity (fall sick often)"/>
        <s v="Stress or Anxiety, Digestive problems (acidity, constipation, bloating, etc)"/>
        <s v="Other,Insomnia (Poor sleep)"/>
        <s v="Low immunity (fall sick often), Other"/>
        <s v="Digestive problems (acidity, constipation, bloating, etc), Low immunity (fall sick often)"/>
        <s v="Fatigue (Frequent tiredness), Low immunity (fall sick often)"/>
      </sharedItems>
    </cacheField>
    <cacheField name="Sleep duration" numFmtId="0">
      <sharedItems/>
    </cacheField>
    <cacheField name="Drinking water per day" numFmtId="0">
      <sharedItems/>
    </cacheField>
    <cacheField name="Stress reduction practice" numFmtId="0">
      <sharedItems/>
    </cacheField>
    <cacheField name="Medical check-ups frequency" numFmtId="0">
      <sharedItems/>
    </cacheField>
    <cacheField name="BMI" numFmtId="0">
      <sharedItems containsSemiMixedTypes="0" containsString="0" containsNumber="1" minValue="14.33631304" maxValue="40.888888889999997"/>
    </cacheField>
    <cacheField name="BMI_Category" numFmtId="0">
      <sharedItems/>
    </cacheField>
    <cacheField name="Activity_Leve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2.516056944442" backgroundQuery="1" createdVersion="8" refreshedVersion="8" minRefreshableVersion="3" recordCount="0" supportSubquery="1" supportAdvancedDrill="1" xr:uid="{F5CFFD4B-FE9A-4459-B6CE-1452BBB85E0D}">
  <cacheSource type="external" connectionId="3"/>
  <cacheFields count="4">
    <cacheField name="[Table1_2].[BMI_Category].[BMI_Category]" caption="BMI_Category" numFmtId="0" hierarchy="56" level="1">
      <sharedItems count="4">
        <s v="Normal"/>
        <s v="obese"/>
        <s v="Overweight"/>
        <s v="Underweight"/>
      </sharedItems>
    </cacheField>
    <cacheField name="[Table1_2].[Gender].[Gender]" caption="Gender" numFmtId="0" hierarchy="39" level="1">
      <sharedItems count="2">
        <s v="Female"/>
        <s v="Male"/>
      </sharedItems>
    </cacheField>
    <cacheField name="[Measures].[Count of BMI_Category]" caption="Count of BMI_Category" numFmtId="0" hierarchy="62" level="32767"/>
    <cacheField name="[Table1_2].[Health issues].[Health issues]" caption="Health issues" numFmtId="0" hierarchy="50" level="1">
      <sharedItems containsSemiMixedTypes="0" containsNonDate="0" containsString="0"/>
    </cacheField>
  </cacheFields>
  <cacheHierarchies count="67">
    <cacheHierarchy uniqueName="[Table1].[Age Group]" caption="Age Group" attribute="1" defaultMemberUniqueName="[Table1].[Age Group].[All]" allUniqueName="[Table1].[Age Group].[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Height(in cm)]" caption="Height(in cm)" attribute="1" defaultMemberUniqueName="[Table1].[Height(in cm)].[All]" allUniqueName="[Table1].[Height(in cm)].[All]" dimensionUniqueName="[Table1]" displayFolder="" count="0" memberValueDatatype="5" unbalanced="0"/>
    <cacheHierarchy uniqueName="[Table1].[Weight(in kg)]" caption="Weight(in kg)" attribute="1" defaultMemberUniqueName="[Table1].[Weight(in kg)].[All]" allUniqueName="[Table1].[Weight(in kg)].[All]" dimensionUniqueName="[Table1]" displayFolder="" count="0" memberValueDatatype="20" unbalanced="0"/>
    <cacheHierarchy uniqueName="[Table1].[Type of diet]" caption="Type of diet" attribute="1" defaultMemberUniqueName="[Table1].[Type of diet].[All]" allUniqueName="[Table1].[Type of diet].[All]" dimensionUniqueName="[Table1]" displayFolder="" count="0" memberValueDatatype="130" unbalanced="0"/>
    <cacheHierarchy uniqueName="[Table1].[Oily foods consumption]" caption="Oily foods consumption" attribute="1" defaultMemberUniqueName="[Table1].[Oily foods consumption].[All]" allUniqueName="[Table1].[Oily foods consumption].[All]" dimensionUniqueName="[Table1]" displayFolder="" count="0" memberValueDatatype="130" unbalanced="0"/>
    <cacheHierarchy uniqueName="[Table1].[fruits and vegetables consumption frequncy]" caption="fruits and vegetables consumption frequncy" attribute="1" defaultMemberUniqueName="[Table1].[fruits and vegetables consumption frequncy].[All]" allUniqueName="[Table1].[fruits and vegetables consumption frequncy].[All]" dimensionUniqueName="[Table1]" displayFolder="" count="0" memberValueDatatype="130" unbalanced="0"/>
    <cacheHierarchy uniqueName="[Table1].[Fast food consumption frequency]" caption="Fast food consumption frequency" attribute="1" defaultMemberUniqueName="[Table1].[Fast food consumption frequency].[All]" allUniqueName="[Table1].[Fast food consumption frequency].[All]" dimensionUniqueName="[Table1]" displayFolder="" count="0" memberValueDatatype="130" unbalanced="0"/>
    <cacheHierarchy uniqueName="[Table1].[Sugary products consumption]" caption="Sugary products consumption" attribute="1" defaultMemberUniqueName="[Table1].[Sugary products consumption].[All]" allUniqueName="[Table1].[Sugary products consumption].[All]" dimensionUniqueName="[Table1]" displayFolder="" count="0" memberValueDatatype="130" unbalanced="0"/>
    <cacheHierarchy uniqueName="[Table1].[Physical activity perform]" caption="Physical activity perform" attribute="1" defaultMemberUniqueName="[Table1].[Physical activity perform].[All]" allUniqueName="[Table1].[Physical activity perform].[All]" dimensionUniqueName="[Table1]" displayFolder="" count="0" memberValueDatatype="130" unbalanced="0"/>
    <cacheHierarchy uniqueName="[Table1].[Type of physical activity]" caption="Type of physical activity" attribute="1" defaultMemberUniqueName="[Table1].[Type of physical activity].[All]" allUniqueName="[Table1].[Type of physical activity].[All]" dimensionUniqueName="[Table1]" displayFolder="" count="0" memberValueDatatype="130" unbalanced="0"/>
    <cacheHierarchy uniqueName="[Table1].[Physical activity frequency]" caption="Physical activity frequency" attribute="1" defaultMemberUniqueName="[Table1].[Physical activity frequency].[All]" allUniqueName="[Table1].[Physical activity frequency].[All]" dimensionUniqueName="[Table1]" displayFolder="" count="0" memberValueDatatype="130" unbalanced="0"/>
    <cacheHierarchy uniqueName="[Table1].[Health issues]" caption="Health issues" attribute="1" defaultMemberUniqueName="[Table1].[Health issues].[All]" allUniqueName="[Table1].[Health issues].[All]" dimensionUniqueName="[Table1]" displayFolder="" count="0" memberValueDatatype="130" unbalanced="0"/>
    <cacheHierarchy uniqueName="[Table1].[Sleep duration]" caption="Sleep duration" attribute="1" defaultMemberUniqueName="[Table1].[Sleep duration].[All]" allUniqueName="[Table1].[Sleep duration].[All]" dimensionUniqueName="[Table1]" displayFolder="" count="0" memberValueDatatype="130" unbalanced="0"/>
    <cacheHierarchy uniqueName="[Table1].[Drinking water per day]" caption="Drinking water per day" attribute="1" defaultMemberUniqueName="[Table1].[Drinking water per day].[All]" allUniqueName="[Table1].[Drinking water per day].[All]" dimensionUniqueName="[Table1]" displayFolder="" count="0" memberValueDatatype="130" unbalanced="0"/>
    <cacheHierarchy uniqueName="[Table1].[Stress reduction practice]" caption="Stress reduction practice" attribute="1" defaultMemberUniqueName="[Table1].[Stress reduction practice].[All]" allUniqueName="[Table1].[Stress reduction practice].[All]" dimensionUniqueName="[Table1]" displayFolder="" count="0" memberValueDatatype="130" unbalanced="0"/>
    <cacheHierarchy uniqueName="[Table1].[Medical check-ups frequency]" caption="Medical check-ups frequency" attribute="1" defaultMemberUniqueName="[Table1].[Medical check-ups frequency].[All]" allUniqueName="[Table1].[Medical check-ups frequency].[All]" dimensionUniqueName="[Table1]" displayFolder="" count="0" memberValueDatatype="130" unbalanced="0"/>
    <cacheHierarchy uniqueName="[Table1].[BMI]" caption="BMI" attribute="1" defaultMemberUniqueName="[Table1].[BMI].[All]" allUniqueName="[Table1].[BMI].[All]" dimensionUniqueName="[Table1]" displayFolder="" count="0" memberValueDatatype="5" unbalanced="0"/>
    <cacheHierarchy uniqueName="[Table1].[BMI_Category]" caption="BMI_Category" attribute="1" defaultMemberUniqueName="[Table1].[BMI_Category].[All]" allUniqueName="[Table1].[BMI_Category].[All]" dimensionUniqueName="[Table1]" displayFolder="" count="0" memberValueDatatype="130" unbalanced="0"/>
    <cacheHierarchy uniqueName="[Table1].[Activity_Level]" caption="Activity_Level" attribute="1" defaultMemberUniqueName="[Table1].[Activity_Level].[All]" allUniqueName="[Table1].[Activity_Level].[All]" dimensionUniqueName="[Table1]" displayFolder="" count="0" memberValueDatatype="130" unbalanced="0"/>
    <cacheHierarchy uniqueName="[Table1 1].[Age Group]" caption="Age Group" attribute="1" defaultMemberUniqueName="[Table1 1].[Age Group].[All]" allUniqueName="[Table1 1].[Age Group].[All]" dimensionUniqueName="[Table1 1]" displayFolder="" count="2" memberValueDatatype="130" unbalanced="0"/>
    <cacheHierarchy uniqueName="[Table1 1].[Gender]" caption="Gender" attribute="1" defaultMemberUniqueName="[Table1 1].[Gender].[All]" allUniqueName="[Table1 1].[Gender].[All]" dimensionUniqueName="[Table1 1]" displayFolder="" count="2" memberValueDatatype="130" unbalanced="0"/>
    <cacheHierarchy uniqueName="[Table1 1].[Height(in cm)]" caption="Height(in cm)" attribute="1" defaultMemberUniqueName="[Table1 1].[Height(in cm)].[All]" allUniqueName="[Table1 1].[Height(in cm)].[All]" dimensionUniqueName="[Table1 1]" displayFolder="" count="0" memberValueDatatype="5" unbalanced="0"/>
    <cacheHierarchy uniqueName="[Table1 1].[Weight(in kg)]" caption="Weight(in kg)" attribute="1" defaultMemberUniqueName="[Table1 1].[Weight(in kg)].[All]" allUniqueName="[Table1 1].[Weight(in kg)].[All]" dimensionUniqueName="[Table1 1]" displayFolder="" count="0" memberValueDatatype="20" unbalanced="0"/>
    <cacheHierarchy uniqueName="[Table1 1].[Type of diet]" caption="Type of diet" attribute="1" defaultMemberUniqueName="[Table1 1].[Type of diet].[All]" allUniqueName="[Table1 1].[Type of diet].[All]" dimensionUniqueName="[Table1 1]" displayFolder="" count="0" memberValueDatatype="130" unbalanced="0"/>
    <cacheHierarchy uniqueName="[Table1 1].[Oily foods consumption]" caption="Oily foods consumption" attribute="1" defaultMemberUniqueName="[Table1 1].[Oily foods consumption].[All]" allUniqueName="[Table1 1].[Oily foods consumption].[All]" dimensionUniqueName="[Table1 1]" displayFolder="" count="0" memberValueDatatype="130" unbalanced="0"/>
    <cacheHierarchy uniqueName="[Table1 1].[fruits and vegetables consumption frequncy]" caption="fruits and vegetables consumption frequncy" attribute="1" defaultMemberUniqueName="[Table1 1].[fruits and vegetables consumption frequncy].[All]" allUniqueName="[Table1 1].[fruits and vegetables consumption frequncy].[All]" dimensionUniqueName="[Table1 1]" displayFolder="" count="0" memberValueDatatype="130" unbalanced="0"/>
    <cacheHierarchy uniqueName="[Table1 1].[Fast food consumption frequency]" caption="Fast food consumption frequency" attribute="1" defaultMemberUniqueName="[Table1 1].[Fast food consumption frequency].[All]" allUniqueName="[Table1 1].[Fast food consumption frequency].[All]" dimensionUniqueName="[Table1 1]" displayFolder="" count="0" memberValueDatatype="130" unbalanced="0"/>
    <cacheHierarchy uniqueName="[Table1 1].[Sugary products consumption]" caption="Sugary products consumption" attribute="1" defaultMemberUniqueName="[Table1 1].[Sugary products consumption].[All]" allUniqueName="[Table1 1].[Sugary products consumption].[All]" dimensionUniqueName="[Table1 1]" displayFolder="" count="0" memberValueDatatype="130" unbalanced="0"/>
    <cacheHierarchy uniqueName="[Table1 1].[Physical activity perform]" caption="Physical activity perform" attribute="1" defaultMemberUniqueName="[Table1 1].[Physical activity perform].[All]" allUniqueName="[Table1 1].[Physical activity perform].[All]" dimensionUniqueName="[Table1 1]" displayFolder="" count="0" memberValueDatatype="130" unbalanced="0"/>
    <cacheHierarchy uniqueName="[Table1 1].[Type of physical activity]" caption="Type of physical activity" attribute="1" defaultMemberUniqueName="[Table1 1].[Type of physical activity].[All]" allUniqueName="[Table1 1].[Type of physical activity].[All]" dimensionUniqueName="[Table1 1]" displayFolder="" count="0" memberValueDatatype="130" unbalanced="0"/>
    <cacheHierarchy uniqueName="[Table1 1].[Physical activity frequency]" caption="Physical activity frequency" attribute="1" defaultMemberUniqueName="[Table1 1].[Physical activity frequency].[All]" allUniqueName="[Table1 1].[Physical activity frequency].[All]" dimensionUniqueName="[Table1 1]" displayFolder="" count="0" memberValueDatatype="130" unbalanced="0"/>
    <cacheHierarchy uniqueName="[Table1 1].[Health issues]" caption="Health issues" attribute="1" defaultMemberUniqueName="[Table1 1].[Health issues].[All]" allUniqueName="[Table1 1].[Health issues].[All]" dimensionUniqueName="[Table1 1]" displayFolder="" count="0" memberValueDatatype="130" unbalanced="0"/>
    <cacheHierarchy uniqueName="[Table1 1].[Sleep duration]" caption="Sleep duration" attribute="1" defaultMemberUniqueName="[Table1 1].[Sleep duration].[All]" allUniqueName="[Table1 1].[Sleep duration].[All]" dimensionUniqueName="[Table1 1]" displayFolder="" count="0" memberValueDatatype="130" unbalanced="0"/>
    <cacheHierarchy uniqueName="[Table1 1].[Drinking water per day]" caption="Drinking water per day" attribute="1" defaultMemberUniqueName="[Table1 1].[Drinking water per day].[All]" allUniqueName="[Table1 1].[Drinking water per day].[All]" dimensionUniqueName="[Table1 1]" displayFolder="" count="0" memberValueDatatype="130" unbalanced="0"/>
    <cacheHierarchy uniqueName="[Table1 1].[Stress reduction practice]" caption="Stress reduction practice" attribute="1" defaultMemberUniqueName="[Table1 1].[Stress reduction practice].[All]" allUniqueName="[Table1 1].[Stress reduction practice].[All]" dimensionUniqueName="[Table1 1]" displayFolder="" count="0" memberValueDatatype="130" unbalanced="0"/>
    <cacheHierarchy uniqueName="[Table1 1].[Medical check-ups frequency]" caption="Medical check-ups frequency" attribute="1" defaultMemberUniqueName="[Table1 1].[Medical check-ups frequency].[All]" allUniqueName="[Table1 1].[Medical check-ups frequency].[All]" dimensionUniqueName="[Table1 1]" displayFolder="" count="0" memberValueDatatype="130" unbalanced="0"/>
    <cacheHierarchy uniqueName="[Table1 1].[BMI]" caption="BMI" attribute="1" defaultMemberUniqueName="[Table1 1].[BMI].[All]" allUniqueName="[Table1 1].[BMI].[All]" dimensionUniqueName="[Table1 1]" displayFolder="" count="0" memberValueDatatype="5" unbalanced="0"/>
    <cacheHierarchy uniqueName="[Table1_2].[Age Group]" caption="Age Group" attribute="1" defaultMemberUniqueName="[Table1_2].[Age Group].[All]" allUniqueName="[Table1_2].[Age Group].[All]" dimensionUniqueName="[Table1_2]" displayFolder="" count="0" memberValueDatatype="130" unbalanced="0"/>
    <cacheHierarchy uniqueName="[Table1_2].[Gender]" caption="Gender" attribute="1" defaultMemberUniqueName="[Table1_2].[Gender].[All]" allUniqueName="[Table1_2].[Gender].[All]" dimensionUniqueName="[Table1_2]" displayFolder="" count="2" memberValueDatatype="130" unbalanced="0">
      <fieldsUsage count="2">
        <fieldUsage x="-1"/>
        <fieldUsage x="1"/>
      </fieldsUsage>
    </cacheHierarchy>
    <cacheHierarchy uniqueName="[Table1_2].[Height(in cm)]" caption="Height(in cm)" attribute="1" defaultMemberUniqueName="[Table1_2].[Height(in cm)].[All]" allUniqueName="[Table1_2].[Height(in cm)].[All]" dimensionUniqueName="[Table1_2]" displayFolder="" count="0" memberValueDatatype="5" unbalanced="0"/>
    <cacheHierarchy uniqueName="[Table1_2].[Weight(in kg)]" caption="Weight(in kg)" attribute="1" defaultMemberUniqueName="[Table1_2].[Weight(in kg)].[All]" allUniqueName="[Table1_2].[Weight(in kg)].[All]" dimensionUniqueName="[Table1_2]" displayFolder="" count="0" memberValueDatatype="20" unbalanced="0"/>
    <cacheHierarchy uniqueName="[Table1_2].[Type of diet]" caption="Type of diet" attribute="1" defaultMemberUniqueName="[Table1_2].[Type of diet].[All]" allUniqueName="[Table1_2].[Type of diet].[All]" dimensionUniqueName="[Table1_2]" displayFolder="" count="0" memberValueDatatype="130" unbalanced="0"/>
    <cacheHierarchy uniqueName="[Table1_2].[Oily foods consumption]" caption="Oily foods consumption" attribute="1" defaultMemberUniqueName="[Table1_2].[Oily foods consumption].[All]" allUniqueName="[Table1_2].[Oily foods consumption].[All]" dimensionUniqueName="[Table1_2]" displayFolder="" count="0" memberValueDatatype="130" unbalanced="0"/>
    <cacheHierarchy uniqueName="[Table1_2].[fruits and vegetables consumption frequncy]" caption="fruits and vegetables consumption frequncy" attribute="1" defaultMemberUniqueName="[Table1_2].[fruits and vegetables consumption frequncy].[All]" allUniqueName="[Table1_2].[fruits and vegetables consumption frequncy].[All]" dimensionUniqueName="[Table1_2]" displayFolder="" count="0" memberValueDatatype="130" unbalanced="0"/>
    <cacheHierarchy uniqueName="[Table1_2].[Fast food consumption frequency]" caption="Fast food consumption frequency" attribute="1" defaultMemberUniqueName="[Table1_2].[Fast food consumption frequency].[All]" allUniqueName="[Table1_2].[Fast food consumption frequency].[All]" dimensionUniqueName="[Table1_2]" displayFolder="" count="0" memberValueDatatype="130" unbalanced="0"/>
    <cacheHierarchy uniqueName="[Table1_2].[Sugary products consumption]" caption="Sugary products consumption" attribute="1" defaultMemberUniqueName="[Table1_2].[Sugary products consumption].[All]" allUniqueName="[Table1_2].[Sugary products consumption].[All]" dimensionUniqueName="[Table1_2]" displayFolder="" count="0" memberValueDatatype="130" unbalanced="0"/>
    <cacheHierarchy uniqueName="[Table1_2].[Physical activity perform]" caption="Physical activity perform" attribute="1" defaultMemberUniqueName="[Table1_2].[Physical activity perform].[All]" allUniqueName="[Table1_2].[Physical activity perform].[All]" dimensionUniqueName="[Table1_2]" displayFolder="" count="0" memberValueDatatype="130" unbalanced="0"/>
    <cacheHierarchy uniqueName="[Table1_2].[Type of physical activity]" caption="Type of physical activity" attribute="1" defaultMemberUniqueName="[Table1_2].[Type of physical activity].[All]" allUniqueName="[Table1_2].[Type of physical activity].[All]" dimensionUniqueName="[Table1_2]" displayFolder="" count="0" memberValueDatatype="130" unbalanced="0"/>
    <cacheHierarchy uniqueName="[Table1_2].[Physical activity frequency]" caption="Physical activity frequency" attribute="1" defaultMemberUniqueName="[Table1_2].[Physical activity frequency].[All]" allUniqueName="[Table1_2].[Physical activity frequency].[All]" dimensionUniqueName="[Table1_2]" displayFolder="" count="0" memberValueDatatype="130" unbalanced="0"/>
    <cacheHierarchy uniqueName="[Table1_2].[Health issues]" caption="Health issues" attribute="1" defaultMemberUniqueName="[Table1_2].[Health issues].[All]" allUniqueName="[Table1_2].[Health issues].[All]" dimensionUniqueName="[Table1_2]" displayFolder="" count="2" memberValueDatatype="130" unbalanced="0">
      <fieldsUsage count="2">
        <fieldUsage x="-1"/>
        <fieldUsage x="3"/>
      </fieldsUsage>
    </cacheHierarchy>
    <cacheHierarchy uniqueName="[Table1_2].[Sleep duration]" caption="Sleep duration" attribute="1" defaultMemberUniqueName="[Table1_2].[Sleep duration].[All]" allUniqueName="[Table1_2].[Sleep duration].[All]" dimensionUniqueName="[Table1_2]" displayFolder="" count="0" memberValueDatatype="130" unbalanced="0"/>
    <cacheHierarchy uniqueName="[Table1_2].[Drinking water per day]" caption="Drinking water per day" attribute="1" defaultMemberUniqueName="[Table1_2].[Drinking water per day].[All]" allUniqueName="[Table1_2].[Drinking water per day].[All]" dimensionUniqueName="[Table1_2]" displayFolder="" count="0" memberValueDatatype="130" unbalanced="0"/>
    <cacheHierarchy uniqueName="[Table1_2].[Stress reduction practice]" caption="Stress reduction practice" attribute="1" defaultMemberUniqueName="[Table1_2].[Stress reduction practice].[All]" allUniqueName="[Table1_2].[Stress reduction practice].[All]" dimensionUniqueName="[Table1_2]" displayFolder="" count="0" memberValueDatatype="130" unbalanced="0"/>
    <cacheHierarchy uniqueName="[Table1_2].[Medical check-ups frequency]" caption="Medical check-ups frequency" attribute="1" defaultMemberUniqueName="[Table1_2].[Medical check-ups frequency].[All]" allUniqueName="[Table1_2].[Medical check-ups frequency].[All]" dimensionUniqueName="[Table1_2]" displayFolder="" count="0" memberValueDatatype="130" unbalanced="0"/>
    <cacheHierarchy uniqueName="[Table1_2].[BMI]" caption="BMI" attribute="1" defaultMemberUniqueName="[Table1_2].[BMI].[All]" allUniqueName="[Table1_2].[BMI].[All]" dimensionUniqueName="[Table1_2]" displayFolder="" count="0" memberValueDatatype="5" unbalanced="0"/>
    <cacheHierarchy uniqueName="[Table1_2].[BMI_Category]" caption="BMI_Category" attribute="1" defaultMemberUniqueName="[Table1_2].[BMI_Category].[All]" allUniqueName="[Table1_2].[BMI_Category].[All]" dimensionUniqueName="[Table1_2]" displayFolder="" count="2" memberValueDatatype="130" unbalanced="0">
      <fieldsUsage count="2">
        <fieldUsage x="-1"/>
        <fieldUsage x="0"/>
      </fieldsUsage>
    </cacheHierarchy>
    <cacheHierarchy uniqueName="[Table1_2].[Activity_Level]" caption="Activity_Level" attribute="1" defaultMemberUniqueName="[Table1_2].[Activity_Level].[All]" allUniqueName="[Table1_2].[Activity_Level].[All]" dimensionUniqueName="[Table1_2]" displayFolder="" count="0" memberValueDatatype="130" unbalanced="0"/>
    <cacheHierarchy uniqueName="[Measures].[__XL_Count Table1]" caption="__XL_Count Table1" measure="1" displayFolder="" measureGroup="Table1" count="0" hidden="1"/>
    <cacheHierarchy uniqueName="[Measures].[__XL_Count Table1_2]" caption="__XL_Count Table1_2" measure="1" displayFolder="" measureGroup="Table1_2" count="0" hidden="1"/>
    <cacheHierarchy uniqueName="[Measures].[__XL_Count Table1 1]" caption="__XL_Count Table1 1" measure="1" displayFolder="" measureGroup="Table1 1" count="0" hidden="1"/>
    <cacheHierarchy uniqueName="[Measures].[__No measures defined]" caption="__No measures defined" measure="1" displayFolder="" count="0" hidden="1"/>
    <cacheHierarchy uniqueName="[Measures].[Count of BMI_Category]" caption="Count of BMI_Category" measure="1" displayFolder="" measureGroup="Table1_2" count="0" oneField="1" hidden="1">
      <fieldsUsage count="1">
        <fieldUsage x="2"/>
      </fieldsUsage>
      <extLst>
        <ext xmlns:x15="http://schemas.microsoft.com/office/spreadsheetml/2010/11/main" uri="{B97F6D7D-B522-45F9-BDA1-12C45D357490}">
          <x15:cacheHierarchy aggregatedColumn="56"/>
        </ext>
      </extLst>
    </cacheHierarchy>
    <cacheHierarchy uniqueName="[Measures].[Sum of BMI]" caption="Sum of BMI" measure="1" displayFolder="" measureGroup="Table1_2" count="0" hidden="1">
      <extLst>
        <ext xmlns:x15="http://schemas.microsoft.com/office/spreadsheetml/2010/11/main" uri="{B97F6D7D-B522-45F9-BDA1-12C45D357490}">
          <x15:cacheHierarchy aggregatedColumn="55"/>
        </ext>
      </extLst>
    </cacheHierarchy>
    <cacheHierarchy uniqueName="[Measures].[Average of BMI]" caption="Average of BMI" measure="1" displayFolder="" measureGroup="Table1_2" count="0" hidden="1">
      <extLst>
        <ext xmlns:x15="http://schemas.microsoft.com/office/spreadsheetml/2010/11/main" uri="{B97F6D7D-B522-45F9-BDA1-12C45D357490}">
          <x15:cacheHierarchy aggregatedColumn="55"/>
        </ext>
      </extLst>
    </cacheHierarchy>
    <cacheHierarchy uniqueName="[Measures].[Count of Physical activity frequency]" caption="Count of Physical activity frequency" measure="1" displayFolder="" measureGroup="Table1_2" count="0" hidden="1">
      <extLst>
        <ext xmlns:x15="http://schemas.microsoft.com/office/spreadsheetml/2010/11/main" uri="{B97F6D7D-B522-45F9-BDA1-12C45D357490}">
          <x15:cacheHierarchy aggregatedColumn="49"/>
        </ext>
      </extLst>
    </cacheHierarchy>
    <cacheHierarchy uniqueName="[Measures].[Count of Health issues]" caption="Count of Health issues" measure="1" displayFolder="" measureGroup="Table1_2" count="0" hidden="1">
      <extLst>
        <ext xmlns:x15="http://schemas.microsoft.com/office/spreadsheetml/2010/11/main" uri="{B97F6D7D-B522-45F9-BDA1-12C45D357490}">
          <x15:cacheHierarchy aggregatedColumn="50"/>
        </ext>
      </extLst>
    </cacheHierarchy>
  </cacheHierarchies>
  <kpis count="0"/>
  <dimensions count="4">
    <dimension measure="1" name="Measures" uniqueName="[Measures]" caption="Measures"/>
    <dimension name="Table1" uniqueName="[Table1]" caption="Table1"/>
    <dimension name="Table1 1" uniqueName="[Table1 1]" caption="Table1 1"/>
    <dimension name="Table1_2" uniqueName="[Table1_2]" caption="Table1_2"/>
  </dimensions>
  <measureGroups count="3">
    <measureGroup name="Table1" caption="Table1"/>
    <measureGroup name="Table1 1" caption="Table1 1"/>
    <measureGroup name="Table1_2" caption="Table1_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2.516057407411" backgroundQuery="1" createdVersion="8" refreshedVersion="8" minRefreshableVersion="3" recordCount="0" supportSubquery="1" supportAdvancedDrill="1" xr:uid="{9BEA6D7F-8AC6-42F2-9DA1-ADBF8CA90DDF}">
  <cacheSource type="external" connectionId="3"/>
  <cacheFields count="3">
    <cacheField name="[Table1_2].[Age Group].[Age Group]" caption="Age Group" numFmtId="0" hierarchy="38" level="1">
      <sharedItems count="6">
        <s v="18-24"/>
        <s v="25-34"/>
        <s v="35-44"/>
        <s v="45-54"/>
        <s v="Above 55"/>
        <s v="Below 18"/>
      </sharedItems>
    </cacheField>
    <cacheField name="[Measures].[Average of BMI]" caption="Average of BMI" numFmtId="0" hierarchy="64" level="32767"/>
    <cacheField name="[Table1_2].[Health issues].[Health issues]" caption="Health issues" numFmtId="0" hierarchy="50" level="1">
      <sharedItems containsSemiMixedTypes="0" containsNonDate="0" containsString="0"/>
    </cacheField>
  </cacheFields>
  <cacheHierarchies count="67">
    <cacheHierarchy uniqueName="[Table1].[Age Group]" caption="Age Group" attribute="1" defaultMemberUniqueName="[Table1].[Age Group].[All]" allUniqueName="[Table1].[Age Group].[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Height(in cm)]" caption="Height(in cm)" attribute="1" defaultMemberUniqueName="[Table1].[Height(in cm)].[All]" allUniqueName="[Table1].[Height(in cm)].[All]" dimensionUniqueName="[Table1]" displayFolder="" count="0" memberValueDatatype="5" unbalanced="0"/>
    <cacheHierarchy uniqueName="[Table1].[Weight(in kg)]" caption="Weight(in kg)" attribute="1" defaultMemberUniqueName="[Table1].[Weight(in kg)].[All]" allUniqueName="[Table1].[Weight(in kg)].[All]" dimensionUniqueName="[Table1]" displayFolder="" count="0" memberValueDatatype="20" unbalanced="0"/>
    <cacheHierarchy uniqueName="[Table1].[Type of diet]" caption="Type of diet" attribute="1" defaultMemberUniqueName="[Table1].[Type of diet].[All]" allUniqueName="[Table1].[Type of diet].[All]" dimensionUniqueName="[Table1]" displayFolder="" count="0" memberValueDatatype="130" unbalanced="0"/>
    <cacheHierarchy uniqueName="[Table1].[Oily foods consumption]" caption="Oily foods consumption" attribute="1" defaultMemberUniqueName="[Table1].[Oily foods consumption].[All]" allUniqueName="[Table1].[Oily foods consumption].[All]" dimensionUniqueName="[Table1]" displayFolder="" count="0" memberValueDatatype="130" unbalanced="0"/>
    <cacheHierarchy uniqueName="[Table1].[fruits and vegetables consumption frequncy]" caption="fruits and vegetables consumption frequncy" attribute="1" defaultMemberUniqueName="[Table1].[fruits and vegetables consumption frequncy].[All]" allUniqueName="[Table1].[fruits and vegetables consumption frequncy].[All]" dimensionUniqueName="[Table1]" displayFolder="" count="0" memberValueDatatype="130" unbalanced="0"/>
    <cacheHierarchy uniqueName="[Table1].[Fast food consumption frequency]" caption="Fast food consumption frequency" attribute="1" defaultMemberUniqueName="[Table1].[Fast food consumption frequency].[All]" allUniqueName="[Table1].[Fast food consumption frequency].[All]" dimensionUniqueName="[Table1]" displayFolder="" count="0" memberValueDatatype="130" unbalanced="0"/>
    <cacheHierarchy uniqueName="[Table1].[Sugary products consumption]" caption="Sugary products consumption" attribute="1" defaultMemberUniqueName="[Table1].[Sugary products consumption].[All]" allUniqueName="[Table1].[Sugary products consumption].[All]" dimensionUniqueName="[Table1]" displayFolder="" count="0" memberValueDatatype="130" unbalanced="0"/>
    <cacheHierarchy uniqueName="[Table1].[Physical activity perform]" caption="Physical activity perform" attribute="1" defaultMemberUniqueName="[Table1].[Physical activity perform].[All]" allUniqueName="[Table1].[Physical activity perform].[All]" dimensionUniqueName="[Table1]" displayFolder="" count="0" memberValueDatatype="130" unbalanced="0"/>
    <cacheHierarchy uniqueName="[Table1].[Type of physical activity]" caption="Type of physical activity" attribute="1" defaultMemberUniqueName="[Table1].[Type of physical activity].[All]" allUniqueName="[Table1].[Type of physical activity].[All]" dimensionUniqueName="[Table1]" displayFolder="" count="0" memberValueDatatype="130" unbalanced="0"/>
    <cacheHierarchy uniqueName="[Table1].[Physical activity frequency]" caption="Physical activity frequency" attribute="1" defaultMemberUniqueName="[Table1].[Physical activity frequency].[All]" allUniqueName="[Table1].[Physical activity frequency].[All]" dimensionUniqueName="[Table1]" displayFolder="" count="0" memberValueDatatype="130" unbalanced="0"/>
    <cacheHierarchy uniqueName="[Table1].[Health issues]" caption="Health issues" attribute="1" defaultMemberUniqueName="[Table1].[Health issues].[All]" allUniqueName="[Table1].[Health issues].[All]" dimensionUniqueName="[Table1]" displayFolder="" count="0" memberValueDatatype="130" unbalanced="0"/>
    <cacheHierarchy uniqueName="[Table1].[Sleep duration]" caption="Sleep duration" attribute="1" defaultMemberUniqueName="[Table1].[Sleep duration].[All]" allUniqueName="[Table1].[Sleep duration].[All]" dimensionUniqueName="[Table1]" displayFolder="" count="0" memberValueDatatype="130" unbalanced="0"/>
    <cacheHierarchy uniqueName="[Table1].[Drinking water per day]" caption="Drinking water per day" attribute="1" defaultMemberUniqueName="[Table1].[Drinking water per day].[All]" allUniqueName="[Table1].[Drinking water per day].[All]" dimensionUniqueName="[Table1]" displayFolder="" count="0" memberValueDatatype="130" unbalanced="0"/>
    <cacheHierarchy uniqueName="[Table1].[Stress reduction practice]" caption="Stress reduction practice" attribute="1" defaultMemberUniqueName="[Table1].[Stress reduction practice].[All]" allUniqueName="[Table1].[Stress reduction practice].[All]" dimensionUniqueName="[Table1]" displayFolder="" count="0" memberValueDatatype="130" unbalanced="0"/>
    <cacheHierarchy uniqueName="[Table1].[Medical check-ups frequency]" caption="Medical check-ups frequency" attribute="1" defaultMemberUniqueName="[Table1].[Medical check-ups frequency].[All]" allUniqueName="[Table1].[Medical check-ups frequency].[All]" dimensionUniqueName="[Table1]" displayFolder="" count="0" memberValueDatatype="130" unbalanced="0"/>
    <cacheHierarchy uniqueName="[Table1].[BMI]" caption="BMI" attribute="1" defaultMemberUniqueName="[Table1].[BMI].[All]" allUniqueName="[Table1].[BMI].[All]" dimensionUniqueName="[Table1]" displayFolder="" count="0" memberValueDatatype="5" unbalanced="0"/>
    <cacheHierarchy uniqueName="[Table1].[BMI_Category]" caption="BMI_Category" attribute="1" defaultMemberUniqueName="[Table1].[BMI_Category].[All]" allUniqueName="[Table1].[BMI_Category].[All]" dimensionUniqueName="[Table1]" displayFolder="" count="0" memberValueDatatype="130" unbalanced="0"/>
    <cacheHierarchy uniqueName="[Table1].[Activity_Level]" caption="Activity_Level" attribute="1" defaultMemberUniqueName="[Table1].[Activity_Level].[All]" allUniqueName="[Table1].[Activity_Level].[All]" dimensionUniqueName="[Table1]" displayFolder="" count="0" memberValueDatatype="130" unbalanced="0"/>
    <cacheHierarchy uniqueName="[Table1 1].[Age Group]" caption="Age Group" attribute="1" defaultMemberUniqueName="[Table1 1].[Age Group].[All]" allUniqueName="[Table1 1].[Age Group].[All]" dimensionUniqueName="[Table1 1]" displayFolder="" count="2" memberValueDatatype="130" unbalanced="0"/>
    <cacheHierarchy uniqueName="[Table1 1].[Gender]" caption="Gender" attribute="1" defaultMemberUniqueName="[Table1 1].[Gender].[All]" allUniqueName="[Table1 1].[Gender].[All]" dimensionUniqueName="[Table1 1]" displayFolder="" count="2" memberValueDatatype="130" unbalanced="0"/>
    <cacheHierarchy uniqueName="[Table1 1].[Height(in cm)]" caption="Height(in cm)" attribute="1" defaultMemberUniqueName="[Table1 1].[Height(in cm)].[All]" allUniqueName="[Table1 1].[Height(in cm)].[All]" dimensionUniqueName="[Table1 1]" displayFolder="" count="0" memberValueDatatype="5" unbalanced="0"/>
    <cacheHierarchy uniqueName="[Table1 1].[Weight(in kg)]" caption="Weight(in kg)" attribute="1" defaultMemberUniqueName="[Table1 1].[Weight(in kg)].[All]" allUniqueName="[Table1 1].[Weight(in kg)].[All]" dimensionUniqueName="[Table1 1]" displayFolder="" count="0" memberValueDatatype="20" unbalanced="0"/>
    <cacheHierarchy uniqueName="[Table1 1].[Type of diet]" caption="Type of diet" attribute="1" defaultMemberUniqueName="[Table1 1].[Type of diet].[All]" allUniqueName="[Table1 1].[Type of diet].[All]" dimensionUniqueName="[Table1 1]" displayFolder="" count="0" memberValueDatatype="130" unbalanced="0"/>
    <cacheHierarchy uniqueName="[Table1 1].[Oily foods consumption]" caption="Oily foods consumption" attribute="1" defaultMemberUniqueName="[Table1 1].[Oily foods consumption].[All]" allUniqueName="[Table1 1].[Oily foods consumption].[All]" dimensionUniqueName="[Table1 1]" displayFolder="" count="0" memberValueDatatype="130" unbalanced="0"/>
    <cacheHierarchy uniqueName="[Table1 1].[fruits and vegetables consumption frequncy]" caption="fruits and vegetables consumption frequncy" attribute="1" defaultMemberUniqueName="[Table1 1].[fruits and vegetables consumption frequncy].[All]" allUniqueName="[Table1 1].[fruits and vegetables consumption frequncy].[All]" dimensionUniqueName="[Table1 1]" displayFolder="" count="0" memberValueDatatype="130" unbalanced="0"/>
    <cacheHierarchy uniqueName="[Table1 1].[Fast food consumption frequency]" caption="Fast food consumption frequency" attribute="1" defaultMemberUniqueName="[Table1 1].[Fast food consumption frequency].[All]" allUniqueName="[Table1 1].[Fast food consumption frequency].[All]" dimensionUniqueName="[Table1 1]" displayFolder="" count="0" memberValueDatatype="130" unbalanced="0"/>
    <cacheHierarchy uniqueName="[Table1 1].[Sugary products consumption]" caption="Sugary products consumption" attribute="1" defaultMemberUniqueName="[Table1 1].[Sugary products consumption].[All]" allUniqueName="[Table1 1].[Sugary products consumption].[All]" dimensionUniqueName="[Table1 1]" displayFolder="" count="0" memberValueDatatype="130" unbalanced="0"/>
    <cacheHierarchy uniqueName="[Table1 1].[Physical activity perform]" caption="Physical activity perform" attribute="1" defaultMemberUniqueName="[Table1 1].[Physical activity perform].[All]" allUniqueName="[Table1 1].[Physical activity perform].[All]" dimensionUniqueName="[Table1 1]" displayFolder="" count="0" memberValueDatatype="130" unbalanced="0"/>
    <cacheHierarchy uniqueName="[Table1 1].[Type of physical activity]" caption="Type of physical activity" attribute="1" defaultMemberUniqueName="[Table1 1].[Type of physical activity].[All]" allUniqueName="[Table1 1].[Type of physical activity].[All]" dimensionUniqueName="[Table1 1]" displayFolder="" count="0" memberValueDatatype="130" unbalanced="0"/>
    <cacheHierarchy uniqueName="[Table1 1].[Physical activity frequency]" caption="Physical activity frequency" attribute="1" defaultMemberUniqueName="[Table1 1].[Physical activity frequency].[All]" allUniqueName="[Table1 1].[Physical activity frequency].[All]" dimensionUniqueName="[Table1 1]" displayFolder="" count="0" memberValueDatatype="130" unbalanced="0"/>
    <cacheHierarchy uniqueName="[Table1 1].[Health issues]" caption="Health issues" attribute="1" defaultMemberUniqueName="[Table1 1].[Health issues].[All]" allUniqueName="[Table1 1].[Health issues].[All]" dimensionUniqueName="[Table1 1]" displayFolder="" count="0" memberValueDatatype="130" unbalanced="0"/>
    <cacheHierarchy uniqueName="[Table1 1].[Sleep duration]" caption="Sleep duration" attribute="1" defaultMemberUniqueName="[Table1 1].[Sleep duration].[All]" allUniqueName="[Table1 1].[Sleep duration].[All]" dimensionUniqueName="[Table1 1]" displayFolder="" count="0" memberValueDatatype="130" unbalanced="0"/>
    <cacheHierarchy uniqueName="[Table1 1].[Drinking water per day]" caption="Drinking water per day" attribute="1" defaultMemberUniqueName="[Table1 1].[Drinking water per day].[All]" allUniqueName="[Table1 1].[Drinking water per day].[All]" dimensionUniqueName="[Table1 1]" displayFolder="" count="0" memberValueDatatype="130" unbalanced="0"/>
    <cacheHierarchy uniqueName="[Table1 1].[Stress reduction practice]" caption="Stress reduction practice" attribute="1" defaultMemberUniqueName="[Table1 1].[Stress reduction practice].[All]" allUniqueName="[Table1 1].[Stress reduction practice].[All]" dimensionUniqueName="[Table1 1]" displayFolder="" count="0" memberValueDatatype="130" unbalanced="0"/>
    <cacheHierarchy uniqueName="[Table1 1].[Medical check-ups frequency]" caption="Medical check-ups frequency" attribute="1" defaultMemberUniqueName="[Table1 1].[Medical check-ups frequency].[All]" allUniqueName="[Table1 1].[Medical check-ups frequency].[All]" dimensionUniqueName="[Table1 1]" displayFolder="" count="0" memberValueDatatype="130" unbalanced="0"/>
    <cacheHierarchy uniqueName="[Table1 1].[BMI]" caption="BMI" attribute="1" defaultMemberUniqueName="[Table1 1].[BMI].[All]" allUniqueName="[Table1 1].[BMI].[All]" dimensionUniqueName="[Table1 1]" displayFolder="" count="0" memberValueDatatype="5" unbalanced="0"/>
    <cacheHierarchy uniqueName="[Table1_2].[Age Group]" caption="Age Group" attribute="1" defaultMemberUniqueName="[Table1_2].[Age Group].[All]" allUniqueName="[Table1_2].[Age Group].[All]" dimensionUniqueName="[Table1_2]" displayFolder="" count="2" memberValueDatatype="130" unbalanced="0">
      <fieldsUsage count="2">
        <fieldUsage x="-1"/>
        <fieldUsage x="0"/>
      </fieldsUsage>
    </cacheHierarchy>
    <cacheHierarchy uniqueName="[Table1_2].[Gender]" caption="Gender" attribute="1" defaultMemberUniqueName="[Table1_2].[Gender].[All]" allUniqueName="[Table1_2].[Gender].[All]" dimensionUniqueName="[Table1_2]" displayFolder="" count="0" memberValueDatatype="130" unbalanced="0"/>
    <cacheHierarchy uniqueName="[Table1_2].[Height(in cm)]" caption="Height(in cm)" attribute="1" defaultMemberUniqueName="[Table1_2].[Height(in cm)].[All]" allUniqueName="[Table1_2].[Height(in cm)].[All]" dimensionUniqueName="[Table1_2]" displayFolder="" count="0" memberValueDatatype="5" unbalanced="0"/>
    <cacheHierarchy uniqueName="[Table1_2].[Weight(in kg)]" caption="Weight(in kg)" attribute="1" defaultMemberUniqueName="[Table1_2].[Weight(in kg)].[All]" allUniqueName="[Table1_2].[Weight(in kg)].[All]" dimensionUniqueName="[Table1_2]" displayFolder="" count="0" memberValueDatatype="20" unbalanced="0"/>
    <cacheHierarchy uniqueName="[Table1_2].[Type of diet]" caption="Type of diet" attribute="1" defaultMemberUniqueName="[Table1_2].[Type of diet].[All]" allUniqueName="[Table1_2].[Type of diet].[All]" dimensionUniqueName="[Table1_2]" displayFolder="" count="0" memberValueDatatype="130" unbalanced="0"/>
    <cacheHierarchy uniqueName="[Table1_2].[Oily foods consumption]" caption="Oily foods consumption" attribute="1" defaultMemberUniqueName="[Table1_2].[Oily foods consumption].[All]" allUniqueName="[Table1_2].[Oily foods consumption].[All]" dimensionUniqueName="[Table1_2]" displayFolder="" count="0" memberValueDatatype="130" unbalanced="0"/>
    <cacheHierarchy uniqueName="[Table1_2].[fruits and vegetables consumption frequncy]" caption="fruits and vegetables consumption frequncy" attribute="1" defaultMemberUniqueName="[Table1_2].[fruits and vegetables consumption frequncy].[All]" allUniqueName="[Table1_2].[fruits and vegetables consumption frequncy].[All]" dimensionUniqueName="[Table1_2]" displayFolder="" count="0" memberValueDatatype="130" unbalanced="0"/>
    <cacheHierarchy uniqueName="[Table1_2].[Fast food consumption frequency]" caption="Fast food consumption frequency" attribute="1" defaultMemberUniqueName="[Table1_2].[Fast food consumption frequency].[All]" allUniqueName="[Table1_2].[Fast food consumption frequency].[All]" dimensionUniqueName="[Table1_2]" displayFolder="" count="0" memberValueDatatype="130" unbalanced="0"/>
    <cacheHierarchy uniqueName="[Table1_2].[Sugary products consumption]" caption="Sugary products consumption" attribute="1" defaultMemberUniqueName="[Table1_2].[Sugary products consumption].[All]" allUniqueName="[Table1_2].[Sugary products consumption].[All]" dimensionUniqueName="[Table1_2]" displayFolder="" count="0" memberValueDatatype="130" unbalanced="0"/>
    <cacheHierarchy uniqueName="[Table1_2].[Physical activity perform]" caption="Physical activity perform" attribute="1" defaultMemberUniqueName="[Table1_2].[Physical activity perform].[All]" allUniqueName="[Table1_2].[Physical activity perform].[All]" dimensionUniqueName="[Table1_2]" displayFolder="" count="0" memberValueDatatype="130" unbalanced="0"/>
    <cacheHierarchy uniqueName="[Table1_2].[Type of physical activity]" caption="Type of physical activity" attribute="1" defaultMemberUniqueName="[Table1_2].[Type of physical activity].[All]" allUniqueName="[Table1_2].[Type of physical activity].[All]" dimensionUniqueName="[Table1_2]" displayFolder="" count="0" memberValueDatatype="130" unbalanced="0"/>
    <cacheHierarchy uniqueName="[Table1_2].[Physical activity frequency]" caption="Physical activity frequency" attribute="1" defaultMemberUniqueName="[Table1_2].[Physical activity frequency].[All]" allUniqueName="[Table1_2].[Physical activity frequency].[All]" dimensionUniqueName="[Table1_2]" displayFolder="" count="0" memberValueDatatype="130" unbalanced="0"/>
    <cacheHierarchy uniqueName="[Table1_2].[Health issues]" caption="Health issues" attribute="1" defaultMemberUniqueName="[Table1_2].[Health issues].[All]" allUniqueName="[Table1_2].[Health issues].[All]" dimensionUniqueName="[Table1_2]" displayFolder="" count="2" memberValueDatatype="130" unbalanced="0">
      <fieldsUsage count="2">
        <fieldUsage x="-1"/>
        <fieldUsage x="2"/>
      </fieldsUsage>
    </cacheHierarchy>
    <cacheHierarchy uniqueName="[Table1_2].[Sleep duration]" caption="Sleep duration" attribute="1" defaultMemberUniqueName="[Table1_2].[Sleep duration].[All]" allUniqueName="[Table1_2].[Sleep duration].[All]" dimensionUniqueName="[Table1_2]" displayFolder="" count="0" memberValueDatatype="130" unbalanced="0"/>
    <cacheHierarchy uniqueName="[Table1_2].[Drinking water per day]" caption="Drinking water per day" attribute="1" defaultMemberUniqueName="[Table1_2].[Drinking water per day].[All]" allUniqueName="[Table1_2].[Drinking water per day].[All]" dimensionUniqueName="[Table1_2]" displayFolder="" count="0" memberValueDatatype="130" unbalanced="0"/>
    <cacheHierarchy uniqueName="[Table1_2].[Stress reduction practice]" caption="Stress reduction practice" attribute="1" defaultMemberUniqueName="[Table1_2].[Stress reduction practice].[All]" allUniqueName="[Table1_2].[Stress reduction practice].[All]" dimensionUniqueName="[Table1_2]" displayFolder="" count="0" memberValueDatatype="130" unbalanced="0"/>
    <cacheHierarchy uniqueName="[Table1_2].[Medical check-ups frequency]" caption="Medical check-ups frequency" attribute="1" defaultMemberUniqueName="[Table1_2].[Medical check-ups frequency].[All]" allUniqueName="[Table1_2].[Medical check-ups frequency].[All]" dimensionUniqueName="[Table1_2]" displayFolder="" count="0" memberValueDatatype="130" unbalanced="0"/>
    <cacheHierarchy uniqueName="[Table1_2].[BMI]" caption="BMI" attribute="1" defaultMemberUniqueName="[Table1_2].[BMI].[All]" allUniqueName="[Table1_2].[BMI].[All]" dimensionUniqueName="[Table1_2]" displayFolder="" count="0" memberValueDatatype="5" unbalanced="0"/>
    <cacheHierarchy uniqueName="[Table1_2].[BMI_Category]" caption="BMI_Category" attribute="1" defaultMemberUniqueName="[Table1_2].[BMI_Category].[All]" allUniqueName="[Table1_2].[BMI_Category].[All]" dimensionUniqueName="[Table1_2]" displayFolder="" count="2" memberValueDatatype="130" unbalanced="0"/>
    <cacheHierarchy uniqueName="[Table1_2].[Activity_Level]" caption="Activity_Level" attribute="1" defaultMemberUniqueName="[Table1_2].[Activity_Level].[All]" allUniqueName="[Table1_2].[Activity_Level].[All]" dimensionUniqueName="[Table1_2]" displayFolder="" count="0" memberValueDatatype="130" unbalanced="0"/>
    <cacheHierarchy uniqueName="[Measures].[__XL_Count Table1]" caption="__XL_Count Table1" measure="1" displayFolder="" measureGroup="Table1" count="0" hidden="1"/>
    <cacheHierarchy uniqueName="[Measures].[__XL_Count Table1_2]" caption="__XL_Count Table1_2" measure="1" displayFolder="" measureGroup="Table1_2" count="0" hidden="1"/>
    <cacheHierarchy uniqueName="[Measures].[__XL_Count Table1 1]" caption="__XL_Count Table1 1" measure="1" displayFolder="" measureGroup="Table1 1" count="0" hidden="1"/>
    <cacheHierarchy uniqueName="[Measures].[__No measures defined]" caption="__No measures defined" measure="1" displayFolder="" count="0" hidden="1"/>
    <cacheHierarchy uniqueName="[Measures].[Count of BMI_Category]" caption="Count of BMI_Category" measure="1" displayFolder="" measureGroup="Table1_2" count="0" hidden="1">
      <extLst>
        <ext xmlns:x15="http://schemas.microsoft.com/office/spreadsheetml/2010/11/main" uri="{B97F6D7D-B522-45F9-BDA1-12C45D357490}">
          <x15:cacheHierarchy aggregatedColumn="56"/>
        </ext>
      </extLst>
    </cacheHierarchy>
    <cacheHierarchy uniqueName="[Measures].[Sum of BMI]" caption="Sum of BMI" measure="1" displayFolder="" measureGroup="Table1_2" count="0" hidden="1">
      <extLst>
        <ext xmlns:x15="http://schemas.microsoft.com/office/spreadsheetml/2010/11/main" uri="{B97F6D7D-B522-45F9-BDA1-12C45D357490}">
          <x15:cacheHierarchy aggregatedColumn="55"/>
        </ext>
      </extLst>
    </cacheHierarchy>
    <cacheHierarchy uniqueName="[Measures].[Average of BMI]" caption="Average of BMI" measure="1" displayFolder="" measureGroup="Table1_2" count="0" oneField="1" hidden="1">
      <fieldsUsage count="1">
        <fieldUsage x="1"/>
      </fieldsUsage>
      <extLst>
        <ext xmlns:x15="http://schemas.microsoft.com/office/spreadsheetml/2010/11/main" uri="{B97F6D7D-B522-45F9-BDA1-12C45D357490}">
          <x15:cacheHierarchy aggregatedColumn="55"/>
        </ext>
      </extLst>
    </cacheHierarchy>
    <cacheHierarchy uniqueName="[Measures].[Count of Physical activity frequency]" caption="Count of Physical activity frequency" measure="1" displayFolder="" measureGroup="Table1_2" count="0" hidden="1">
      <extLst>
        <ext xmlns:x15="http://schemas.microsoft.com/office/spreadsheetml/2010/11/main" uri="{B97F6D7D-B522-45F9-BDA1-12C45D357490}">
          <x15:cacheHierarchy aggregatedColumn="49"/>
        </ext>
      </extLst>
    </cacheHierarchy>
    <cacheHierarchy uniqueName="[Measures].[Count of Health issues]" caption="Count of Health issues" measure="1" displayFolder="" measureGroup="Table1_2" count="0" hidden="1">
      <extLst>
        <ext xmlns:x15="http://schemas.microsoft.com/office/spreadsheetml/2010/11/main" uri="{B97F6D7D-B522-45F9-BDA1-12C45D357490}">
          <x15:cacheHierarchy aggregatedColumn="50"/>
        </ext>
      </extLst>
    </cacheHierarchy>
  </cacheHierarchies>
  <kpis count="0"/>
  <dimensions count="4">
    <dimension measure="1" name="Measures" uniqueName="[Measures]" caption="Measures"/>
    <dimension name="Table1" uniqueName="[Table1]" caption="Table1"/>
    <dimension name="Table1 1" uniqueName="[Table1 1]" caption="Table1 1"/>
    <dimension name="Table1_2" uniqueName="[Table1_2]" caption="Table1_2"/>
  </dimensions>
  <measureGroups count="3">
    <measureGroup name="Table1" caption="Table1"/>
    <measureGroup name="Table1 1" caption="Table1 1"/>
    <measureGroup name="Table1_2" caption="Table1_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2.516057986111" backgroundQuery="1" createdVersion="8" refreshedVersion="8" minRefreshableVersion="3" recordCount="0" supportSubquery="1" supportAdvancedDrill="1" xr:uid="{8BF46456-E95D-4D2C-8123-95F09EA392AC}">
  <cacheSource type="external" connectionId="3"/>
  <cacheFields count="3">
    <cacheField name="[Table1_2].[Physical activity frequency].[Physical activity frequency]" caption="Physical activity frequency" numFmtId="0" hierarchy="49" level="1">
      <sharedItems count="5">
        <s v="1-2 days"/>
        <s v="3-4 days"/>
        <s v="5-6 days"/>
        <s v="Daily"/>
        <s v="Never"/>
      </sharedItems>
    </cacheField>
    <cacheField name="[Table1_2].[Health issues].[Health issues]" caption="Health issues" numFmtId="0" hierarchy="50" level="1">
      <sharedItems count="17">
        <s v=" Stress/Anxiety,Insomnia (Poor sleep)"/>
        <s v="Digestive problems (acidity, constipation, bloating, etc)"/>
        <s v="Digestive problems (acidity, constipation, bloating, etc), Low immunity (fall sick often)"/>
        <s v="Fatigue (Frequent tiredness)"/>
        <s v="Fatigue (Frequent tiredness), Low immunity (fall sick often)"/>
        <s v="Fatigue (Frequent tiredness), Stress or Anxiety"/>
        <s v="Insomnia (Poor sleep)"/>
        <s v="Insomnia (Poor sleep), Digestive problems (acidity, constipation, bloating, etc)"/>
        <s v="Insomnia (Poor sleep), Stress or Anxiety, Digestive problems (acidity, constipation, bloating, etc)"/>
        <s v="Insomnia (Poor sleep),Low immunity (fall sick often)"/>
        <s v="Low immunity (fall sick often)"/>
        <s v="Low immunity (fall sick often), Other"/>
        <s v="None"/>
        <s v="Other, Digestive problems (acidity, constipation, bloating, etc)"/>
        <s v="Other,Insomnia (Poor sleep)"/>
        <s v="Stress or Anxiety"/>
        <s v="Stress or Anxiety, Digestive problems (acidity, constipation, bloating, etc)"/>
      </sharedItems>
    </cacheField>
    <cacheField name="[Measures].[Count of Health issues]" caption="Count of Health issues" numFmtId="0" hierarchy="66" level="32767"/>
  </cacheFields>
  <cacheHierarchies count="67">
    <cacheHierarchy uniqueName="[Table1].[Age Group]" caption="Age Group" attribute="1" defaultMemberUniqueName="[Table1].[Age Group].[All]" allUniqueName="[Table1].[Age Group].[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Height(in cm)]" caption="Height(in cm)" attribute="1" defaultMemberUniqueName="[Table1].[Height(in cm)].[All]" allUniqueName="[Table1].[Height(in cm)].[All]" dimensionUniqueName="[Table1]" displayFolder="" count="0" memberValueDatatype="5" unbalanced="0"/>
    <cacheHierarchy uniqueName="[Table1].[Weight(in kg)]" caption="Weight(in kg)" attribute="1" defaultMemberUniqueName="[Table1].[Weight(in kg)].[All]" allUniqueName="[Table1].[Weight(in kg)].[All]" dimensionUniqueName="[Table1]" displayFolder="" count="0" memberValueDatatype="20" unbalanced="0"/>
    <cacheHierarchy uniqueName="[Table1].[Type of diet]" caption="Type of diet" attribute="1" defaultMemberUniqueName="[Table1].[Type of diet].[All]" allUniqueName="[Table1].[Type of diet].[All]" dimensionUniqueName="[Table1]" displayFolder="" count="0" memberValueDatatype="130" unbalanced="0"/>
    <cacheHierarchy uniqueName="[Table1].[Oily foods consumption]" caption="Oily foods consumption" attribute="1" defaultMemberUniqueName="[Table1].[Oily foods consumption].[All]" allUniqueName="[Table1].[Oily foods consumption].[All]" dimensionUniqueName="[Table1]" displayFolder="" count="0" memberValueDatatype="130" unbalanced="0"/>
    <cacheHierarchy uniqueName="[Table1].[fruits and vegetables consumption frequncy]" caption="fruits and vegetables consumption frequncy" attribute="1" defaultMemberUniqueName="[Table1].[fruits and vegetables consumption frequncy].[All]" allUniqueName="[Table1].[fruits and vegetables consumption frequncy].[All]" dimensionUniqueName="[Table1]" displayFolder="" count="0" memberValueDatatype="130" unbalanced="0"/>
    <cacheHierarchy uniqueName="[Table1].[Fast food consumption frequency]" caption="Fast food consumption frequency" attribute="1" defaultMemberUniqueName="[Table1].[Fast food consumption frequency].[All]" allUniqueName="[Table1].[Fast food consumption frequency].[All]" dimensionUniqueName="[Table1]" displayFolder="" count="0" memberValueDatatype="130" unbalanced="0"/>
    <cacheHierarchy uniqueName="[Table1].[Sugary products consumption]" caption="Sugary products consumption" attribute="1" defaultMemberUniqueName="[Table1].[Sugary products consumption].[All]" allUniqueName="[Table1].[Sugary products consumption].[All]" dimensionUniqueName="[Table1]" displayFolder="" count="0" memberValueDatatype="130" unbalanced="0"/>
    <cacheHierarchy uniqueName="[Table1].[Physical activity perform]" caption="Physical activity perform" attribute="1" defaultMemberUniqueName="[Table1].[Physical activity perform].[All]" allUniqueName="[Table1].[Physical activity perform].[All]" dimensionUniqueName="[Table1]" displayFolder="" count="0" memberValueDatatype="130" unbalanced="0"/>
    <cacheHierarchy uniqueName="[Table1].[Type of physical activity]" caption="Type of physical activity" attribute="1" defaultMemberUniqueName="[Table1].[Type of physical activity].[All]" allUniqueName="[Table1].[Type of physical activity].[All]" dimensionUniqueName="[Table1]" displayFolder="" count="0" memberValueDatatype="130" unbalanced="0"/>
    <cacheHierarchy uniqueName="[Table1].[Physical activity frequency]" caption="Physical activity frequency" attribute="1" defaultMemberUniqueName="[Table1].[Physical activity frequency].[All]" allUniqueName="[Table1].[Physical activity frequency].[All]" dimensionUniqueName="[Table1]" displayFolder="" count="0" memberValueDatatype="130" unbalanced="0"/>
    <cacheHierarchy uniqueName="[Table1].[Health issues]" caption="Health issues" attribute="1" defaultMemberUniqueName="[Table1].[Health issues].[All]" allUniqueName="[Table1].[Health issues].[All]" dimensionUniqueName="[Table1]" displayFolder="" count="0" memberValueDatatype="130" unbalanced="0"/>
    <cacheHierarchy uniqueName="[Table1].[Sleep duration]" caption="Sleep duration" attribute="1" defaultMemberUniqueName="[Table1].[Sleep duration].[All]" allUniqueName="[Table1].[Sleep duration].[All]" dimensionUniqueName="[Table1]" displayFolder="" count="0" memberValueDatatype="130" unbalanced="0"/>
    <cacheHierarchy uniqueName="[Table1].[Drinking water per day]" caption="Drinking water per day" attribute="1" defaultMemberUniqueName="[Table1].[Drinking water per day].[All]" allUniqueName="[Table1].[Drinking water per day].[All]" dimensionUniqueName="[Table1]" displayFolder="" count="0" memberValueDatatype="130" unbalanced="0"/>
    <cacheHierarchy uniqueName="[Table1].[Stress reduction practice]" caption="Stress reduction practice" attribute="1" defaultMemberUniqueName="[Table1].[Stress reduction practice].[All]" allUniqueName="[Table1].[Stress reduction practice].[All]" dimensionUniqueName="[Table1]" displayFolder="" count="0" memberValueDatatype="130" unbalanced="0"/>
    <cacheHierarchy uniqueName="[Table1].[Medical check-ups frequency]" caption="Medical check-ups frequency" attribute="1" defaultMemberUniqueName="[Table1].[Medical check-ups frequency].[All]" allUniqueName="[Table1].[Medical check-ups frequency].[All]" dimensionUniqueName="[Table1]" displayFolder="" count="0" memberValueDatatype="130" unbalanced="0"/>
    <cacheHierarchy uniqueName="[Table1].[BMI]" caption="BMI" attribute="1" defaultMemberUniqueName="[Table1].[BMI].[All]" allUniqueName="[Table1].[BMI].[All]" dimensionUniqueName="[Table1]" displayFolder="" count="0" memberValueDatatype="5" unbalanced="0"/>
    <cacheHierarchy uniqueName="[Table1].[BMI_Category]" caption="BMI_Category" attribute="1" defaultMemberUniqueName="[Table1].[BMI_Category].[All]" allUniqueName="[Table1].[BMI_Category].[All]" dimensionUniqueName="[Table1]" displayFolder="" count="0" memberValueDatatype="130" unbalanced="0"/>
    <cacheHierarchy uniqueName="[Table1].[Activity_Level]" caption="Activity_Level" attribute="1" defaultMemberUniqueName="[Table1].[Activity_Level].[All]" allUniqueName="[Table1].[Activity_Level].[All]" dimensionUniqueName="[Table1]" displayFolder="" count="0" memberValueDatatype="130" unbalanced="0"/>
    <cacheHierarchy uniqueName="[Table1 1].[Age Group]" caption="Age Group" attribute="1" defaultMemberUniqueName="[Table1 1].[Age Group].[All]" allUniqueName="[Table1 1].[Age Group].[All]" dimensionUniqueName="[Table1 1]" displayFolder="" count="2" memberValueDatatype="130" unbalanced="0"/>
    <cacheHierarchy uniqueName="[Table1 1].[Gender]" caption="Gender" attribute="1" defaultMemberUniqueName="[Table1 1].[Gender].[All]" allUniqueName="[Table1 1].[Gender].[All]" dimensionUniqueName="[Table1 1]" displayFolder="" count="2" memberValueDatatype="130" unbalanced="0"/>
    <cacheHierarchy uniqueName="[Table1 1].[Height(in cm)]" caption="Height(in cm)" attribute="1" defaultMemberUniqueName="[Table1 1].[Height(in cm)].[All]" allUniqueName="[Table1 1].[Height(in cm)].[All]" dimensionUniqueName="[Table1 1]" displayFolder="" count="0" memberValueDatatype="5" unbalanced="0"/>
    <cacheHierarchy uniqueName="[Table1 1].[Weight(in kg)]" caption="Weight(in kg)" attribute="1" defaultMemberUniqueName="[Table1 1].[Weight(in kg)].[All]" allUniqueName="[Table1 1].[Weight(in kg)].[All]" dimensionUniqueName="[Table1 1]" displayFolder="" count="0" memberValueDatatype="20" unbalanced="0"/>
    <cacheHierarchy uniqueName="[Table1 1].[Type of diet]" caption="Type of diet" attribute="1" defaultMemberUniqueName="[Table1 1].[Type of diet].[All]" allUniqueName="[Table1 1].[Type of diet].[All]" dimensionUniqueName="[Table1 1]" displayFolder="" count="0" memberValueDatatype="130" unbalanced="0"/>
    <cacheHierarchy uniqueName="[Table1 1].[Oily foods consumption]" caption="Oily foods consumption" attribute="1" defaultMemberUniqueName="[Table1 1].[Oily foods consumption].[All]" allUniqueName="[Table1 1].[Oily foods consumption].[All]" dimensionUniqueName="[Table1 1]" displayFolder="" count="0" memberValueDatatype="130" unbalanced="0"/>
    <cacheHierarchy uniqueName="[Table1 1].[fruits and vegetables consumption frequncy]" caption="fruits and vegetables consumption frequncy" attribute="1" defaultMemberUniqueName="[Table1 1].[fruits and vegetables consumption frequncy].[All]" allUniqueName="[Table1 1].[fruits and vegetables consumption frequncy].[All]" dimensionUniqueName="[Table1 1]" displayFolder="" count="0" memberValueDatatype="130" unbalanced="0"/>
    <cacheHierarchy uniqueName="[Table1 1].[Fast food consumption frequency]" caption="Fast food consumption frequency" attribute="1" defaultMemberUniqueName="[Table1 1].[Fast food consumption frequency].[All]" allUniqueName="[Table1 1].[Fast food consumption frequency].[All]" dimensionUniqueName="[Table1 1]" displayFolder="" count="0" memberValueDatatype="130" unbalanced="0"/>
    <cacheHierarchy uniqueName="[Table1 1].[Sugary products consumption]" caption="Sugary products consumption" attribute="1" defaultMemberUniqueName="[Table1 1].[Sugary products consumption].[All]" allUniqueName="[Table1 1].[Sugary products consumption].[All]" dimensionUniqueName="[Table1 1]" displayFolder="" count="0" memberValueDatatype="130" unbalanced="0"/>
    <cacheHierarchy uniqueName="[Table1 1].[Physical activity perform]" caption="Physical activity perform" attribute="1" defaultMemberUniqueName="[Table1 1].[Physical activity perform].[All]" allUniqueName="[Table1 1].[Physical activity perform].[All]" dimensionUniqueName="[Table1 1]" displayFolder="" count="0" memberValueDatatype="130" unbalanced="0"/>
    <cacheHierarchy uniqueName="[Table1 1].[Type of physical activity]" caption="Type of physical activity" attribute="1" defaultMemberUniqueName="[Table1 1].[Type of physical activity].[All]" allUniqueName="[Table1 1].[Type of physical activity].[All]" dimensionUniqueName="[Table1 1]" displayFolder="" count="0" memberValueDatatype="130" unbalanced="0"/>
    <cacheHierarchy uniqueName="[Table1 1].[Physical activity frequency]" caption="Physical activity frequency" attribute="1" defaultMemberUniqueName="[Table1 1].[Physical activity frequency].[All]" allUniqueName="[Table1 1].[Physical activity frequency].[All]" dimensionUniqueName="[Table1 1]" displayFolder="" count="0" memberValueDatatype="130" unbalanced="0"/>
    <cacheHierarchy uniqueName="[Table1 1].[Health issues]" caption="Health issues" attribute="1" defaultMemberUniqueName="[Table1 1].[Health issues].[All]" allUniqueName="[Table1 1].[Health issues].[All]" dimensionUniqueName="[Table1 1]" displayFolder="" count="0" memberValueDatatype="130" unbalanced="0"/>
    <cacheHierarchy uniqueName="[Table1 1].[Sleep duration]" caption="Sleep duration" attribute="1" defaultMemberUniqueName="[Table1 1].[Sleep duration].[All]" allUniqueName="[Table1 1].[Sleep duration].[All]" dimensionUniqueName="[Table1 1]" displayFolder="" count="0" memberValueDatatype="130" unbalanced="0"/>
    <cacheHierarchy uniqueName="[Table1 1].[Drinking water per day]" caption="Drinking water per day" attribute="1" defaultMemberUniqueName="[Table1 1].[Drinking water per day].[All]" allUniqueName="[Table1 1].[Drinking water per day].[All]" dimensionUniqueName="[Table1 1]" displayFolder="" count="0" memberValueDatatype="130" unbalanced="0"/>
    <cacheHierarchy uniqueName="[Table1 1].[Stress reduction practice]" caption="Stress reduction practice" attribute="1" defaultMemberUniqueName="[Table1 1].[Stress reduction practice].[All]" allUniqueName="[Table1 1].[Stress reduction practice].[All]" dimensionUniqueName="[Table1 1]" displayFolder="" count="0" memberValueDatatype="130" unbalanced="0"/>
    <cacheHierarchy uniqueName="[Table1 1].[Medical check-ups frequency]" caption="Medical check-ups frequency" attribute="1" defaultMemberUniqueName="[Table1 1].[Medical check-ups frequency].[All]" allUniqueName="[Table1 1].[Medical check-ups frequency].[All]" dimensionUniqueName="[Table1 1]" displayFolder="" count="0" memberValueDatatype="130" unbalanced="0"/>
    <cacheHierarchy uniqueName="[Table1 1].[BMI]" caption="BMI" attribute="1" defaultMemberUniqueName="[Table1 1].[BMI].[All]" allUniqueName="[Table1 1].[BMI].[All]" dimensionUniqueName="[Table1 1]" displayFolder="" count="0" memberValueDatatype="5" unbalanced="0"/>
    <cacheHierarchy uniqueName="[Table1_2].[Age Group]" caption="Age Group" attribute="1" defaultMemberUniqueName="[Table1_2].[Age Group].[All]" allUniqueName="[Table1_2].[Age Group].[All]" dimensionUniqueName="[Table1_2]" displayFolder="" count="0" memberValueDatatype="130" unbalanced="0"/>
    <cacheHierarchy uniqueName="[Table1_2].[Gender]" caption="Gender" attribute="1" defaultMemberUniqueName="[Table1_2].[Gender].[All]" allUniqueName="[Table1_2].[Gender].[All]" dimensionUniqueName="[Table1_2]" displayFolder="" count="0" memberValueDatatype="130" unbalanced="0"/>
    <cacheHierarchy uniqueName="[Table1_2].[Height(in cm)]" caption="Height(in cm)" attribute="1" defaultMemberUniqueName="[Table1_2].[Height(in cm)].[All]" allUniqueName="[Table1_2].[Height(in cm)].[All]" dimensionUniqueName="[Table1_2]" displayFolder="" count="0" memberValueDatatype="5" unbalanced="0"/>
    <cacheHierarchy uniqueName="[Table1_2].[Weight(in kg)]" caption="Weight(in kg)" attribute="1" defaultMemberUniqueName="[Table1_2].[Weight(in kg)].[All]" allUniqueName="[Table1_2].[Weight(in kg)].[All]" dimensionUniqueName="[Table1_2]" displayFolder="" count="0" memberValueDatatype="20" unbalanced="0"/>
    <cacheHierarchy uniqueName="[Table1_2].[Type of diet]" caption="Type of diet" attribute="1" defaultMemberUniqueName="[Table1_2].[Type of diet].[All]" allUniqueName="[Table1_2].[Type of diet].[All]" dimensionUniqueName="[Table1_2]" displayFolder="" count="0" memberValueDatatype="130" unbalanced="0"/>
    <cacheHierarchy uniqueName="[Table1_2].[Oily foods consumption]" caption="Oily foods consumption" attribute="1" defaultMemberUniqueName="[Table1_2].[Oily foods consumption].[All]" allUniqueName="[Table1_2].[Oily foods consumption].[All]" dimensionUniqueName="[Table1_2]" displayFolder="" count="0" memberValueDatatype="130" unbalanced="0"/>
    <cacheHierarchy uniqueName="[Table1_2].[fruits and vegetables consumption frequncy]" caption="fruits and vegetables consumption frequncy" attribute="1" defaultMemberUniqueName="[Table1_2].[fruits and vegetables consumption frequncy].[All]" allUniqueName="[Table1_2].[fruits and vegetables consumption frequncy].[All]" dimensionUniqueName="[Table1_2]" displayFolder="" count="0" memberValueDatatype="130" unbalanced="0"/>
    <cacheHierarchy uniqueName="[Table1_2].[Fast food consumption frequency]" caption="Fast food consumption frequency" attribute="1" defaultMemberUniqueName="[Table1_2].[Fast food consumption frequency].[All]" allUniqueName="[Table1_2].[Fast food consumption frequency].[All]" dimensionUniqueName="[Table1_2]" displayFolder="" count="0" memberValueDatatype="130" unbalanced="0"/>
    <cacheHierarchy uniqueName="[Table1_2].[Sugary products consumption]" caption="Sugary products consumption" attribute="1" defaultMemberUniqueName="[Table1_2].[Sugary products consumption].[All]" allUniqueName="[Table1_2].[Sugary products consumption].[All]" dimensionUniqueName="[Table1_2]" displayFolder="" count="0" memberValueDatatype="130" unbalanced="0"/>
    <cacheHierarchy uniqueName="[Table1_2].[Physical activity perform]" caption="Physical activity perform" attribute="1" defaultMemberUniqueName="[Table1_2].[Physical activity perform].[All]" allUniqueName="[Table1_2].[Physical activity perform].[All]" dimensionUniqueName="[Table1_2]" displayFolder="" count="0" memberValueDatatype="130" unbalanced="0"/>
    <cacheHierarchy uniqueName="[Table1_2].[Type of physical activity]" caption="Type of physical activity" attribute="1" defaultMemberUniqueName="[Table1_2].[Type of physical activity].[All]" allUniqueName="[Table1_2].[Type of physical activity].[All]" dimensionUniqueName="[Table1_2]" displayFolder="" count="0" memberValueDatatype="130" unbalanced="0"/>
    <cacheHierarchy uniqueName="[Table1_2].[Physical activity frequency]" caption="Physical activity frequency" attribute="1" defaultMemberUniqueName="[Table1_2].[Physical activity frequency].[All]" allUniqueName="[Table1_2].[Physical activity frequency].[All]" dimensionUniqueName="[Table1_2]" displayFolder="" count="2" memberValueDatatype="130" unbalanced="0">
      <fieldsUsage count="2">
        <fieldUsage x="-1"/>
        <fieldUsage x="0"/>
      </fieldsUsage>
    </cacheHierarchy>
    <cacheHierarchy uniqueName="[Table1_2].[Health issues]" caption="Health issues" attribute="1" defaultMemberUniqueName="[Table1_2].[Health issues].[All]" allUniqueName="[Table1_2].[Health issues].[All]" dimensionUniqueName="[Table1_2]" displayFolder="" count="2" memberValueDatatype="130" unbalanced="0">
      <fieldsUsage count="2">
        <fieldUsage x="-1"/>
        <fieldUsage x="1"/>
      </fieldsUsage>
    </cacheHierarchy>
    <cacheHierarchy uniqueName="[Table1_2].[Sleep duration]" caption="Sleep duration" attribute="1" defaultMemberUniqueName="[Table1_2].[Sleep duration].[All]" allUniqueName="[Table1_2].[Sleep duration].[All]" dimensionUniqueName="[Table1_2]" displayFolder="" count="0" memberValueDatatype="130" unbalanced="0"/>
    <cacheHierarchy uniqueName="[Table1_2].[Drinking water per day]" caption="Drinking water per day" attribute="1" defaultMemberUniqueName="[Table1_2].[Drinking water per day].[All]" allUniqueName="[Table1_2].[Drinking water per day].[All]" dimensionUniqueName="[Table1_2]" displayFolder="" count="0" memberValueDatatype="130" unbalanced="0"/>
    <cacheHierarchy uniqueName="[Table1_2].[Stress reduction practice]" caption="Stress reduction practice" attribute="1" defaultMemberUniqueName="[Table1_2].[Stress reduction practice].[All]" allUniqueName="[Table1_2].[Stress reduction practice].[All]" dimensionUniqueName="[Table1_2]" displayFolder="" count="0" memberValueDatatype="130" unbalanced="0"/>
    <cacheHierarchy uniqueName="[Table1_2].[Medical check-ups frequency]" caption="Medical check-ups frequency" attribute="1" defaultMemberUniqueName="[Table1_2].[Medical check-ups frequency].[All]" allUniqueName="[Table1_2].[Medical check-ups frequency].[All]" dimensionUniqueName="[Table1_2]" displayFolder="" count="0" memberValueDatatype="130" unbalanced="0"/>
    <cacheHierarchy uniqueName="[Table1_2].[BMI]" caption="BMI" attribute="1" defaultMemberUniqueName="[Table1_2].[BMI].[All]" allUniqueName="[Table1_2].[BMI].[All]" dimensionUniqueName="[Table1_2]" displayFolder="" count="0" memberValueDatatype="5" unbalanced="0"/>
    <cacheHierarchy uniqueName="[Table1_2].[BMI_Category]" caption="BMI_Category" attribute="1" defaultMemberUniqueName="[Table1_2].[BMI_Category].[All]" allUniqueName="[Table1_2].[BMI_Category].[All]" dimensionUniqueName="[Table1_2]" displayFolder="" count="2" memberValueDatatype="130" unbalanced="0"/>
    <cacheHierarchy uniqueName="[Table1_2].[Activity_Level]" caption="Activity_Level" attribute="1" defaultMemberUniqueName="[Table1_2].[Activity_Level].[All]" allUniqueName="[Table1_2].[Activity_Level].[All]" dimensionUniqueName="[Table1_2]" displayFolder="" count="0" memberValueDatatype="130" unbalanced="0"/>
    <cacheHierarchy uniqueName="[Measures].[__XL_Count Table1]" caption="__XL_Count Table1" measure="1" displayFolder="" measureGroup="Table1" count="0" hidden="1"/>
    <cacheHierarchy uniqueName="[Measures].[__XL_Count Table1_2]" caption="__XL_Count Table1_2" measure="1" displayFolder="" measureGroup="Table1_2" count="0" hidden="1"/>
    <cacheHierarchy uniqueName="[Measures].[__XL_Count Table1 1]" caption="__XL_Count Table1 1" measure="1" displayFolder="" measureGroup="Table1 1" count="0" hidden="1"/>
    <cacheHierarchy uniqueName="[Measures].[__No measures defined]" caption="__No measures defined" measure="1" displayFolder="" count="0" hidden="1"/>
    <cacheHierarchy uniqueName="[Measures].[Count of BMI_Category]" caption="Count of BMI_Category" measure="1" displayFolder="" measureGroup="Table1_2" count="0" hidden="1">
      <extLst>
        <ext xmlns:x15="http://schemas.microsoft.com/office/spreadsheetml/2010/11/main" uri="{B97F6D7D-B522-45F9-BDA1-12C45D357490}">
          <x15:cacheHierarchy aggregatedColumn="56"/>
        </ext>
      </extLst>
    </cacheHierarchy>
    <cacheHierarchy uniqueName="[Measures].[Sum of BMI]" caption="Sum of BMI" measure="1" displayFolder="" measureGroup="Table1_2" count="0" hidden="1">
      <extLst>
        <ext xmlns:x15="http://schemas.microsoft.com/office/spreadsheetml/2010/11/main" uri="{B97F6D7D-B522-45F9-BDA1-12C45D357490}">
          <x15:cacheHierarchy aggregatedColumn="55"/>
        </ext>
      </extLst>
    </cacheHierarchy>
    <cacheHierarchy uniqueName="[Measures].[Average of BMI]" caption="Average of BMI" measure="1" displayFolder="" measureGroup="Table1_2" count="0" hidden="1">
      <extLst>
        <ext xmlns:x15="http://schemas.microsoft.com/office/spreadsheetml/2010/11/main" uri="{B97F6D7D-B522-45F9-BDA1-12C45D357490}">
          <x15:cacheHierarchy aggregatedColumn="55"/>
        </ext>
      </extLst>
    </cacheHierarchy>
    <cacheHierarchy uniqueName="[Measures].[Count of Physical activity frequency]" caption="Count of Physical activity frequency" measure="1" displayFolder="" measureGroup="Table1_2" count="0" hidden="1">
      <extLst>
        <ext xmlns:x15="http://schemas.microsoft.com/office/spreadsheetml/2010/11/main" uri="{B97F6D7D-B522-45F9-BDA1-12C45D357490}">
          <x15:cacheHierarchy aggregatedColumn="49"/>
        </ext>
      </extLst>
    </cacheHierarchy>
    <cacheHierarchy uniqueName="[Measures].[Count of Health issues]" caption="Count of Health issues" measure="1" displayFolder="" measureGroup="Table1_2" count="0" oneField="1" hidden="1">
      <fieldsUsage count="1">
        <fieldUsage x="2"/>
      </fieldsUsage>
      <extLst>
        <ext xmlns:x15="http://schemas.microsoft.com/office/spreadsheetml/2010/11/main" uri="{B97F6D7D-B522-45F9-BDA1-12C45D357490}">
          <x15:cacheHierarchy aggregatedColumn="50"/>
        </ext>
      </extLst>
    </cacheHierarchy>
  </cacheHierarchies>
  <kpis count="0"/>
  <dimensions count="4">
    <dimension measure="1" name="Measures" uniqueName="[Measures]" caption="Measures"/>
    <dimension name="Table1" uniqueName="[Table1]" caption="Table1"/>
    <dimension name="Table1 1" uniqueName="[Table1 1]" caption="Table1 1"/>
    <dimension name="Table1_2" uniqueName="[Table1_2]" caption="Table1_2"/>
  </dimensions>
  <measureGroups count="3">
    <measureGroup name="Table1" caption="Table1"/>
    <measureGroup name="Table1 1" caption="Table1 1"/>
    <measureGroup name="Table1_2" caption="Table1_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2.516058912035" backgroundQuery="1" createdVersion="8" refreshedVersion="8" minRefreshableVersion="3" recordCount="0" supportSubquery="1" supportAdvancedDrill="1" xr:uid="{AF6E8809-7432-4B74-AC6F-B5623160E84E}">
  <cacheSource type="external" connectionId="3"/>
  <cacheFields count="3">
    <cacheField name="[Table1_2].[Sleep duration].[Sleep duration]" caption="Sleep duration" numFmtId="0" hierarchy="51" level="1">
      <sharedItems count="4">
        <s v="5-6 hours"/>
        <s v="7-8 hours"/>
        <s v="Less than 5 hours"/>
        <s v="More than 8"/>
      </sharedItems>
    </cacheField>
    <cacheField name="[Table1_2].[Health issues].[Health issues]" caption="Health issues" numFmtId="0" hierarchy="50" level="1">
      <sharedItems count="18">
        <s v=" Fatigue (Frequent tiredness)"/>
        <s v=" Stress/Anxiety,Insomnia (Poor sleep)"/>
        <s v="Digestive problems (acidity, constipation, bloating, etc)"/>
        <s v="Digestive problems (acidity, constipation, bloating, etc), Low immunity (fall sick often)"/>
        <s v="Fatigue (Frequent tiredness)"/>
        <s v="Fatigue (Frequent tiredness), Low immunity (fall sick often)"/>
        <s v="Fatigue (Frequent tiredness), Stress or Anxiety"/>
        <s v="Insomnia (Poor sleep)"/>
        <s v="Insomnia (Poor sleep), Digestive problems (acidity, constipation, bloating, etc)"/>
        <s v="Insomnia (Poor sleep), Stress or Anxiety, Digestive problems (acidity, constipation, bloating, etc)"/>
        <s v="Insomnia (Poor sleep),Low immunity (fall sick often)"/>
        <s v="Low immunity (fall sick often)"/>
        <s v="Low immunity (fall sick often), Other"/>
        <s v="None"/>
        <s v="Other, Digestive problems (acidity, constipation, bloating, etc)"/>
        <s v="Other,Insomnia (Poor sleep)"/>
        <s v="Stress or Anxiety"/>
        <s v="Stress or Anxiety, Digestive problems (acidity, constipation, bloating, etc)"/>
      </sharedItems>
    </cacheField>
    <cacheField name="[Measures].[Count of Health issues]" caption="Count of Health issues" numFmtId="0" hierarchy="66" level="32767"/>
  </cacheFields>
  <cacheHierarchies count="67">
    <cacheHierarchy uniqueName="[Table1].[Age Group]" caption="Age Group" attribute="1" defaultMemberUniqueName="[Table1].[Age Group].[All]" allUniqueName="[Table1].[Age Group].[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Height(in cm)]" caption="Height(in cm)" attribute="1" defaultMemberUniqueName="[Table1].[Height(in cm)].[All]" allUniqueName="[Table1].[Height(in cm)].[All]" dimensionUniqueName="[Table1]" displayFolder="" count="0" memberValueDatatype="5" unbalanced="0"/>
    <cacheHierarchy uniqueName="[Table1].[Weight(in kg)]" caption="Weight(in kg)" attribute="1" defaultMemberUniqueName="[Table1].[Weight(in kg)].[All]" allUniqueName="[Table1].[Weight(in kg)].[All]" dimensionUniqueName="[Table1]" displayFolder="" count="0" memberValueDatatype="20" unbalanced="0"/>
    <cacheHierarchy uniqueName="[Table1].[Type of diet]" caption="Type of diet" attribute="1" defaultMemberUniqueName="[Table1].[Type of diet].[All]" allUniqueName="[Table1].[Type of diet].[All]" dimensionUniqueName="[Table1]" displayFolder="" count="0" memberValueDatatype="130" unbalanced="0"/>
    <cacheHierarchy uniqueName="[Table1].[Oily foods consumption]" caption="Oily foods consumption" attribute="1" defaultMemberUniqueName="[Table1].[Oily foods consumption].[All]" allUniqueName="[Table1].[Oily foods consumption].[All]" dimensionUniqueName="[Table1]" displayFolder="" count="0" memberValueDatatype="130" unbalanced="0"/>
    <cacheHierarchy uniqueName="[Table1].[fruits and vegetables consumption frequncy]" caption="fruits and vegetables consumption frequncy" attribute="1" defaultMemberUniqueName="[Table1].[fruits and vegetables consumption frequncy].[All]" allUniqueName="[Table1].[fruits and vegetables consumption frequncy].[All]" dimensionUniqueName="[Table1]" displayFolder="" count="0" memberValueDatatype="130" unbalanced="0"/>
    <cacheHierarchy uniqueName="[Table1].[Fast food consumption frequency]" caption="Fast food consumption frequency" attribute="1" defaultMemberUniqueName="[Table1].[Fast food consumption frequency].[All]" allUniqueName="[Table1].[Fast food consumption frequency].[All]" dimensionUniqueName="[Table1]" displayFolder="" count="0" memberValueDatatype="130" unbalanced="0"/>
    <cacheHierarchy uniqueName="[Table1].[Sugary products consumption]" caption="Sugary products consumption" attribute="1" defaultMemberUniqueName="[Table1].[Sugary products consumption].[All]" allUniqueName="[Table1].[Sugary products consumption].[All]" dimensionUniqueName="[Table1]" displayFolder="" count="0" memberValueDatatype="130" unbalanced="0"/>
    <cacheHierarchy uniqueName="[Table1].[Physical activity perform]" caption="Physical activity perform" attribute="1" defaultMemberUniqueName="[Table1].[Physical activity perform].[All]" allUniqueName="[Table1].[Physical activity perform].[All]" dimensionUniqueName="[Table1]" displayFolder="" count="0" memberValueDatatype="130" unbalanced="0"/>
    <cacheHierarchy uniqueName="[Table1].[Type of physical activity]" caption="Type of physical activity" attribute="1" defaultMemberUniqueName="[Table1].[Type of physical activity].[All]" allUniqueName="[Table1].[Type of physical activity].[All]" dimensionUniqueName="[Table1]" displayFolder="" count="0" memberValueDatatype="130" unbalanced="0"/>
    <cacheHierarchy uniqueName="[Table1].[Physical activity frequency]" caption="Physical activity frequency" attribute="1" defaultMemberUniqueName="[Table1].[Physical activity frequency].[All]" allUniqueName="[Table1].[Physical activity frequency].[All]" dimensionUniqueName="[Table1]" displayFolder="" count="0" memberValueDatatype="130" unbalanced="0"/>
    <cacheHierarchy uniqueName="[Table1].[Health issues]" caption="Health issues" attribute="1" defaultMemberUniqueName="[Table1].[Health issues].[All]" allUniqueName="[Table1].[Health issues].[All]" dimensionUniqueName="[Table1]" displayFolder="" count="0" memberValueDatatype="130" unbalanced="0"/>
    <cacheHierarchy uniqueName="[Table1].[Sleep duration]" caption="Sleep duration" attribute="1" defaultMemberUniqueName="[Table1].[Sleep duration].[All]" allUniqueName="[Table1].[Sleep duration].[All]" dimensionUniqueName="[Table1]" displayFolder="" count="0" memberValueDatatype="130" unbalanced="0"/>
    <cacheHierarchy uniqueName="[Table1].[Drinking water per day]" caption="Drinking water per day" attribute="1" defaultMemberUniqueName="[Table1].[Drinking water per day].[All]" allUniqueName="[Table1].[Drinking water per day].[All]" dimensionUniqueName="[Table1]" displayFolder="" count="0" memberValueDatatype="130" unbalanced="0"/>
    <cacheHierarchy uniqueName="[Table1].[Stress reduction practice]" caption="Stress reduction practice" attribute="1" defaultMemberUniqueName="[Table1].[Stress reduction practice].[All]" allUniqueName="[Table1].[Stress reduction practice].[All]" dimensionUniqueName="[Table1]" displayFolder="" count="0" memberValueDatatype="130" unbalanced="0"/>
    <cacheHierarchy uniqueName="[Table1].[Medical check-ups frequency]" caption="Medical check-ups frequency" attribute="1" defaultMemberUniqueName="[Table1].[Medical check-ups frequency].[All]" allUniqueName="[Table1].[Medical check-ups frequency].[All]" dimensionUniqueName="[Table1]" displayFolder="" count="0" memberValueDatatype="130" unbalanced="0"/>
    <cacheHierarchy uniqueName="[Table1].[BMI]" caption="BMI" attribute="1" defaultMemberUniqueName="[Table1].[BMI].[All]" allUniqueName="[Table1].[BMI].[All]" dimensionUniqueName="[Table1]" displayFolder="" count="0" memberValueDatatype="5" unbalanced="0"/>
    <cacheHierarchy uniqueName="[Table1].[BMI_Category]" caption="BMI_Category" attribute="1" defaultMemberUniqueName="[Table1].[BMI_Category].[All]" allUniqueName="[Table1].[BMI_Category].[All]" dimensionUniqueName="[Table1]" displayFolder="" count="0" memberValueDatatype="130" unbalanced="0"/>
    <cacheHierarchy uniqueName="[Table1].[Activity_Level]" caption="Activity_Level" attribute="1" defaultMemberUniqueName="[Table1].[Activity_Level].[All]" allUniqueName="[Table1].[Activity_Level].[All]" dimensionUniqueName="[Table1]" displayFolder="" count="0" memberValueDatatype="130" unbalanced="0"/>
    <cacheHierarchy uniqueName="[Table1 1].[Age Group]" caption="Age Group" attribute="1" defaultMemberUniqueName="[Table1 1].[Age Group].[All]" allUniqueName="[Table1 1].[Age Group].[All]" dimensionUniqueName="[Table1 1]" displayFolder="" count="2" memberValueDatatype="130" unbalanced="0"/>
    <cacheHierarchy uniqueName="[Table1 1].[Gender]" caption="Gender" attribute="1" defaultMemberUniqueName="[Table1 1].[Gender].[All]" allUniqueName="[Table1 1].[Gender].[All]" dimensionUniqueName="[Table1 1]" displayFolder="" count="2" memberValueDatatype="130" unbalanced="0"/>
    <cacheHierarchy uniqueName="[Table1 1].[Height(in cm)]" caption="Height(in cm)" attribute="1" defaultMemberUniqueName="[Table1 1].[Height(in cm)].[All]" allUniqueName="[Table1 1].[Height(in cm)].[All]" dimensionUniqueName="[Table1 1]" displayFolder="" count="0" memberValueDatatype="5" unbalanced="0"/>
    <cacheHierarchy uniqueName="[Table1 1].[Weight(in kg)]" caption="Weight(in kg)" attribute="1" defaultMemberUniqueName="[Table1 1].[Weight(in kg)].[All]" allUniqueName="[Table1 1].[Weight(in kg)].[All]" dimensionUniqueName="[Table1 1]" displayFolder="" count="0" memberValueDatatype="20" unbalanced="0"/>
    <cacheHierarchy uniqueName="[Table1 1].[Type of diet]" caption="Type of diet" attribute="1" defaultMemberUniqueName="[Table1 1].[Type of diet].[All]" allUniqueName="[Table1 1].[Type of diet].[All]" dimensionUniqueName="[Table1 1]" displayFolder="" count="0" memberValueDatatype="130" unbalanced="0"/>
    <cacheHierarchy uniqueName="[Table1 1].[Oily foods consumption]" caption="Oily foods consumption" attribute="1" defaultMemberUniqueName="[Table1 1].[Oily foods consumption].[All]" allUniqueName="[Table1 1].[Oily foods consumption].[All]" dimensionUniqueName="[Table1 1]" displayFolder="" count="0" memberValueDatatype="130" unbalanced="0"/>
    <cacheHierarchy uniqueName="[Table1 1].[fruits and vegetables consumption frequncy]" caption="fruits and vegetables consumption frequncy" attribute="1" defaultMemberUniqueName="[Table1 1].[fruits and vegetables consumption frequncy].[All]" allUniqueName="[Table1 1].[fruits and vegetables consumption frequncy].[All]" dimensionUniqueName="[Table1 1]" displayFolder="" count="0" memberValueDatatype="130" unbalanced="0"/>
    <cacheHierarchy uniqueName="[Table1 1].[Fast food consumption frequency]" caption="Fast food consumption frequency" attribute="1" defaultMemberUniqueName="[Table1 1].[Fast food consumption frequency].[All]" allUniqueName="[Table1 1].[Fast food consumption frequency].[All]" dimensionUniqueName="[Table1 1]" displayFolder="" count="0" memberValueDatatype="130" unbalanced="0"/>
    <cacheHierarchy uniqueName="[Table1 1].[Sugary products consumption]" caption="Sugary products consumption" attribute="1" defaultMemberUniqueName="[Table1 1].[Sugary products consumption].[All]" allUniqueName="[Table1 1].[Sugary products consumption].[All]" dimensionUniqueName="[Table1 1]" displayFolder="" count="0" memberValueDatatype="130" unbalanced="0"/>
    <cacheHierarchy uniqueName="[Table1 1].[Physical activity perform]" caption="Physical activity perform" attribute="1" defaultMemberUniqueName="[Table1 1].[Physical activity perform].[All]" allUniqueName="[Table1 1].[Physical activity perform].[All]" dimensionUniqueName="[Table1 1]" displayFolder="" count="0" memberValueDatatype="130" unbalanced="0"/>
    <cacheHierarchy uniqueName="[Table1 1].[Type of physical activity]" caption="Type of physical activity" attribute="1" defaultMemberUniqueName="[Table1 1].[Type of physical activity].[All]" allUniqueName="[Table1 1].[Type of physical activity].[All]" dimensionUniqueName="[Table1 1]" displayFolder="" count="0" memberValueDatatype="130" unbalanced="0"/>
    <cacheHierarchy uniqueName="[Table1 1].[Physical activity frequency]" caption="Physical activity frequency" attribute="1" defaultMemberUniqueName="[Table1 1].[Physical activity frequency].[All]" allUniqueName="[Table1 1].[Physical activity frequency].[All]" dimensionUniqueName="[Table1 1]" displayFolder="" count="0" memberValueDatatype="130" unbalanced="0"/>
    <cacheHierarchy uniqueName="[Table1 1].[Health issues]" caption="Health issues" attribute="1" defaultMemberUniqueName="[Table1 1].[Health issues].[All]" allUniqueName="[Table1 1].[Health issues].[All]" dimensionUniqueName="[Table1 1]" displayFolder="" count="0" memberValueDatatype="130" unbalanced="0"/>
    <cacheHierarchy uniqueName="[Table1 1].[Sleep duration]" caption="Sleep duration" attribute="1" defaultMemberUniqueName="[Table1 1].[Sleep duration].[All]" allUniqueName="[Table1 1].[Sleep duration].[All]" dimensionUniqueName="[Table1 1]" displayFolder="" count="0" memberValueDatatype="130" unbalanced="0"/>
    <cacheHierarchy uniqueName="[Table1 1].[Drinking water per day]" caption="Drinking water per day" attribute="1" defaultMemberUniqueName="[Table1 1].[Drinking water per day].[All]" allUniqueName="[Table1 1].[Drinking water per day].[All]" dimensionUniqueName="[Table1 1]" displayFolder="" count="0" memberValueDatatype="130" unbalanced="0"/>
    <cacheHierarchy uniqueName="[Table1 1].[Stress reduction practice]" caption="Stress reduction practice" attribute="1" defaultMemberUniqueName="[Table1 1].[Stress reduction practice].[All]" allUniqueName="[Table1 1].[Stress reduction practice].[All]" dimensionUniqueName="[Table1 1]" displayFolder="" count="0" memberValueDatatype="130" unbalanced="0"/>
    <cacheHierarchy uniqueName="[Table1 1].[Medical check-ups frequency]" caption="Medical check-ups frequency" attribute="1" defaultMemberUniqueName="[Table1 1].[Medical check-ups frequency].[All]" allUniqueName="[Table1 1].[Medical check-ups frequency].[All]" dimensionUniqueName="[Table1 1]" displayFolder="" count="0" memberValueDatatype="130" unbalanced="0"/>
    <cacheHierarchy uniqueName="[Table1 1].[BMI]" caption="BMI" attribute="1" defaultMemberUniqueName="[Table1 1].[BMI].[All]" allUniqueName="[Table1 1].[BMI].[All]" dimensionUniqueName="[Table1 1]" displayFolder="" count="0" memberValueDatatype="5" unbalanced="0"/>
    <cacheHierarchy uniqueName="[Table1_2].[Age Group]" caption="Age Group" attribute="1" defaultMemberUniqueName="[Table1_2].[Age Group].[All]" allUniqueName="[Table1_2].[Age Group].[All]" dimensionUniqueName="[Table1_2]" displayFolder="" count="0" memberValueDatatype="130" unbalanced="0"/>
    <cacheHierarchy uniqueName="[Table1_2].[Gender]" caption="Gender" attribute="1" defaultMemberUniqueName="[Table1_2].[Gender].[All]" allUniqueName="[Table1_2].[Gender].[All]" dimensionUniqueName="[Table1_2]" displayFolder="" count="0" memberValueDatatype="130" unbalanced="0"/>
    <cacheHierarchy uniqueName="[Table1_2].[Height(in cm)]" caption="Height(in cm)" attribute="1" defaultMemberUniqueName="[Table1_2].[Height(in cm)].[All]" allUniqueName="[Table1_2].[Height(in cm)].[All]" dimensionUniqueName="[Table1_2]" displayFolder="" count="0" memberValueDatatype="5" unbalanced="0"/>
    <cacheHierarchy uniqueName="[Table1_2].[Weight(in kg)]" caption="Weight(in kg)" attribute="1" defaultMemberUniqueName="[Table1_2].[Weight(in kg)].[All]" allUniqueName="[Table1_2].[Weight(in kg)].[All]" dimensionUniqueName="[Table1_2]" displayFolder="" count="0" memberValueDatatype="20" unbalanced="0"/>
    <cacheHierarchy uniqueName="[Table1_2].[Type of diet]" caption="Type of diet" attribute="1" defaultMemberUniqueName="[Table1_2].[Type of diet].[All]" allUniqueName="[Table1_2].[Type of diet].[All]" dimensionUniqueName="[Table1_2]" displayFolder="" count="0" memberValueDatatype="130" unbalanced="0"/>
    <cacheHierarchy uniqueName="[Table1_2].[Oily foods consumption]" caption="Oily foods consumption" attribute="1" defaultMemberUniqueName="[Table1_2].[Oily foods consumption].[All]" allUniqueName="[Table1_2].[Oily foods consumption].[All]" dimensionUniqueName="[Table1_2]" displayFolder="" count="0" memberValueDatatype="130" unbalanced="0"/>
    <cacheHierarchy uniqueName="[Table1_2].[fruits and vegetables consumption frequncy]" caption="fruits and vegetables consumption frequncy" attribute="1" defaultMemberUniqueName="[Table1_2].[fruits and vegetables consumption frequncy].[All]" allUniqueName="[Table1_2].[fruits and vegetables consumption frequncy].[All]" dimensionUniqueName="[Table1_2]" displayFolder="" count="0" memberValueDatatype="130" unbalanced="0"/>
    <cacheHierarchy uniqueName="[Table1_2].[Fast food consumption frequency]" caption="Fast food consumption frequency" attribute="1" defaultMemberUniqueName="[Table1_2].[Fast food consumption frequency].[All]" allUniqueName="[Table1_2].[Fast food consumption frequency].[All]" dimensionUniqueName="[Table1_2]" displayFolder="" count="0" memberValueDatatype="130" unbalanced="0"/>
    <cacheHierarchy uniqueName="[Table1_2].[Sugary products consumption]" caption="Sugary products consumption" attribute="1" defaultMemberUniqueName="[Table1_2].[Sugary products consumption].[All]" allUniqueName="[Table1_2].[Sugary products consumption].[All]" dimensionUniqueName="[Table1_2]" displayFolder="" count="0" memberValueDatatype="130" unbalanced="0"/>
    <cacheHierarchy uniqueName="[Table1_2].[Physical activity perform]" caption="Physical activity perform" attribute="1" defaultMemberUniqueName="[Table1_2].[Physical activity perform].[All]" allUniqueName="[Table1_2].[Physical activity perform].[All]" dimensionUniqueName="[Table1_2]" displayFolder="" count="0" memberValueDatatype="130" unbalanced="0"/>
    <cacheHierarchy uniqueName="[Table1_2].[Type of physical activity]" caption="Type of physical activity" attribute="1" defaultMemberUniqueName="[Table1_2].[Type of physical activity].[All]" allUniqueName="[Table1_2].[Type of physical activity].[All]" dimensionUniqueName="[Table1_2]" displayFolder="" count="0" memberValueDatatype="130" unbalanced="0"/>
    <cacheHierarchy uniqueName="[Table1_2].[Physical activity frequency]" caption="Physical activity frequency" attribute="1" defaultMemberUniqueName="[Table1_2].[Physical activity frequency].[All]" allUniqueName="[Table1_2].[Physical activity frequency].[All]" dimensionUniqueName="[Table1_2]" displayFolder="" count="0" memberValueDatatype="130" unbalanced="0"/>
    <cacheHierarchy uniqueName="[Table1_2].[Health issues]" caption="Health issues" attribute="1" defaultMemberUniqueName="[Table1_2].[Health issues].[All]" allUniqueName="[Table1_2].[Health issues].[All]" dimensionUniqueName="[Table1_2]" displayFolder="" count="2" memberValueDatatype="130" unbalanced="0">
      <fieldsUsage count="2">
        <fieldUsage x="-1"/>
        <fieldUsage x="1"/>
      </fieldsUsage>
    </cacheHierarchy>
    <cacheHierarchy uniqueName="[Table1_2].[Sleep duration]" caption="Sleep duration" attribute="1" defaultMemberUniqueName="[Table1_2].[Sleep duration].[All]" allUniqueName="[Table1_2].[Sleep duration].[All]" dimensionUniqueName="[Table1_2]" displayFolder="" count="2" memberValueDatatype="130" unbalanced="0">
      <fieldsUsage count="2">
        <fieldUsage x="-1"/>
        <fieldUsage x="0"/>
      </fieldsUsage>
    </cacheHierarchy>
    <cacheHierarchy uniqueName="[Table1_2].[Drinking water per day]" caption="Drinking water per day" attribute="1" defaultMemberUniqueName="[Table1_2].[Drinking water per day].[All]" allUniqueName="[Table1_2].[Drinking water per day].[All]" dimensionUniqueName="[Table1_2]" displayFolder="" count="0" memberValueDatatype="130" unbalanced="0"/>
    <cacheHierarchy uniqueName="[Table1_2].[Stress reduction practice]" caption="Stress reduction practice" attribute="1" defaultMemberUniqueName="[Table1_2].[Stress reduction practice].[All]" allUniqueName="[Table1_2].[Stress reduction practice].[All]" dimensionUniqueName="[Table1_2]" displayFolder="" count="0" memberValueDatatype="130" unbalanced="0"/>
    <cacheHierarchy uniqueName="[Table1_2].[Medical check-ups frequency]" caption="Medical check-ups frequency" attribute="1" defaultMemberUniqueName="[Table1_2].[Medical check-ups frequency].[All]" allUniqueName="[Table1_2].[Medical check-ups frequency].[All]" dimensionUniqueName="[Table1_2]" displayFolder="" count="0" memberValueDatatype="130" unbalanced="0"/>
    <cacheHierarchy uniqueName="[Table1_2].[BMI]" caption="BMI" attribute="1" defaultMemberUniqueName="[Table1_2].[BMI].[All]" allUniqueName="[Table1_2].[BMI].[All]" dimensionUniqueName="[Table1_2]" displayFolder="" count="0" memberValueDatatype="5" unbalanced="0"/>
    <cacheHierarchy uniqueName="[Table1_2].[BMI_Category]" caption="BMI_Category" attribute="1" defaultMemberUniqueName="[Table1_2].[BMI_Category].[All]" allUniqueName="[Table1_2].[BMI_Category].[All]" dimensionUniqueName="[Table1_2]" displayFolder="" count="2" memberValueDatatype="130" unbalanced="0"/>
    <cacheHierarchy uniqueName="[Table1_2].[Activity_Level]" caption="Activity_Level" attribute="1" defaultMemberUniqueName="[Table1_2].[Activity_Level].[All]" allUniqueName="[Table1_2].[Activity_Level].[All]" dimensionUniqueName="[Table1_2]" displayFolder="" count="0" memberValueDatatype="130" unbalanced="0"/>
    <cacheHierarchy uniqueName="[Measures].[__XL_Count Table1]" caption="__XL_Count Table1" measure="1" displayFolder="" measureGroup="Table1" count="0" hidden="1"/>
    <cacheHierarchy uniqueName="[Measures].[__XL_Count Table1_2]" caption="__XL_Count Table1_2" measure="1" displayFolder="" measureGroup="Table1_2" count="0" hidden="1"/>
    <cacheHierarchy uniqueName="[Measures].[__XL_Count Table1 1]" caption="__XL_Count Table1 1" measure="1" displayFolder="" measureGroup="Table1 1" count="0" hidden="1"/>
    <cacheHierarchy uniqueName="[Measures].[__No measures defined]" caption="__No measures defined" measure="1" displayFolder="" count="0" hidden="1"/>
    <cacheHierarchy uniqueName="[Measures].[Count of BMI_Category]" caption="Count of BMI_Category" measure="1" displayFolder="" measureGroup="Table1_2" count="0" hidden="1">
      <extLst>
        <ext xmlns:x15="http://schemas.microsoft.com/office/spreadsheetml/2010/11/main" uri="{B97F6D7D-B522-45F9-BDA1-12C45D357490}">
          <x15:cacheHierarchy aggregatedColumn="56"/>
        </ext>
      </extLst>
    </cacheHierarchy>
    <cacheHierarchy uniqueName="[Measures].[Sum of BMI]" caption="Sum of BMI" measure="1" displayFolder="" measureGroup="Table1_2" count="0" hidden="1">
      <extLst>
        <ext xmlns:x15="http://schemas.microsoft.com/office/spreadsheetml/2010/11/main" uri="{B97F6D7D-B522-45F9-BDA1-12C45D357490}">
          <x15:cacheHierarchy aggregatedColumn="55"/>
        </ext>
      </extLst>
    </cacheHierarchy>
    <cacheHierarchy uniqueName="[Measures].[Average of BMI]" caption="Average of BMI" measure="1" displayFolder="" measureGroup="Table1_2" count="0" hidden="1">
      <extLst>
        <ext xmlns:x15="http://schemas.microsoft.com/office/spreadsheetml/2010/11/main" uri="{B97F6D7D-B522-45F9-BDA1-12C45D357490}">
          <x15:cacheHierarchy aggregatedColumn="55"/>
        </ext>
      </extLst>
    </cacheHierarchy>
    <cacheHierarchy uniqueName="[Measures].[Count of Physical activity frequency]" caption="Count of Physical activity frequency" measure="1" displayFolder="" measureGroup="Table1_2" count="0" hidden="1">
      <extLst>
        <ext xmlns:x15="http://schemas.microsoft.com/office/spreadsheetml/2010/11/main" uri="{B97F6D7D-B522-45F9-BDA1-12C45D357490}">
          <x15:cacheHierarchy aggregatedColumn="49"/>
        </ext>
      </extLst>
    </cacheHierarchy>
    <cacheHierarchy uniqueName="[Measures].[Count of Health issues]" caption="Count of Health issues" measure="1" displayFolder="" measureGroup="Table1_2" count="0" oneField="1" hidden="1">
      <fieldsUsage count="1">
        <fieldUsage x="2"/>
      </fieldsUsage>
      <extLst>
        <ext xmlns:x15="http://schemas.microsoft.com/office/spreadsheetml/2010/11/main" uri="{B97F6D7D-B522-45F9-BDA1-12C45D357490}">
          <x15:cacheHierarchy aggregatedColumn="50"/>
        </ext>
      </extLst>
    </cacheHierarchy>
  </cacheHierarchies>
  <kpis count="0"/>
  <dimensions count="4">
    <dimension measure="1" name="Measures" uniqueName="[Measures]" caption="Measures"/>
    <dimension name="Table1" uniqueName="[Table1]" caption="Table1"/>
    <dimension name="Table1 1" uniqueName="[Table1 1]" caption="Table1 1"/>
    <dimension name="Table1_2" uniqueName="[Table1_2]" caption="Table1_2"/>
  </dimensions>
  <measureGroups count="3">
    <measureGroup name="Table1" caption="Table1"/>
    <measureGroup name="Table1 1" caption="Table1 1"/>
    <measureGroup name="Table1_2" caption="Table1_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2.516059490743" backgroundQuery="1" createdVersion="8" refreshedVersion="8" minRefreshableVersion="3" recordCount="0" supportSubquery="1" supportAdvancedDrill="1" xr:uid="{EB8F552D-D55F-4284-B947-00653507B609}">
  <cacheSource type="external" connectionId="3"/>
  <cacheFields count="4">
    <cacheField name="[Table1_2].[Fast food consumption frequency].[Fast food consumption frequency]" caption="Fast food consumption frequency" numFmtId="0" hierarchy="45" level="1">
      <sharedItems count="7">
        <s v="1 time a month"/>
        <s v="1 time a week"/>
        <s v="1 times a month"/>
        <s v="1 times a week"/>
        <s v="2-3 times a week"/>
        <s v="5-6 times a week"/>
        <s v="Never"/>
      </sharedItems>
    </cacheField>
    <cacheField name="[Table1_2].[BMI_Category].[BMI_Category]" caption="BMI_Category" numFmtId="0" hierarchy="56" level="1">
      <sharedItems count="4">
        <s v="Normal"/>
        <s v="obese"/>
        <s v="Overweight"/>
        <s v="Underweight"/>
      </sharedItems>
    </cacheField>
    <cacheField name="[Measures].[Count of BMI_Category]" caption="Count of BMI_Category" numFmtId="0" hierarchy="62" level="32767"/>
    <cacheField name="[Table1_2].[Health issues].[Health issues]" caption="Health issues" numFmtId="0" hierarchy="50" level="1">
      <sharedItems containsSemiMixedTypes="0" containsNonDate="0" containsString="0"/>
    </cacheField>
  </cacheFields>
  <cacheHierarchies count="67">
    <cacheHierarchy uniqueName="[Table1].[Age Group]" caption="Age Group" attribute="1" defaultMemberUniqueName="[Table1].[Age Group].[All]" allUniqueName="[Table1].[Age Group].[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Height(in cm)]" caption="Height(in cm)" attribute="1" defaultMemberUniqueName="[Table1].[Height(in cm)].[All]" allUniqueName="[Table1].[Height(in cm)].[All]" dimensionUniqueName="[Table1]" displayFolder="" count="0" memberValueDatatype="5" unbalanced="0"/>
    <cacheHierarchy uniqueName="[Table1].[Weight(in kg)]" caption="Weight(in kg)" attribute="1" defaultMemberUniqueName="[Table1].[Weight(in kg)].[All]" allUniqueName="[Table1].[Weight(in kg)].[All]" dimensionUniqueName="[Table1]" displayFolder="" count="0" memberValueDatatype="20" unbalanced="0"/>
    <cacheHierarchy uniqueName="[Table1].[Type of diet]" caption="Type of diet" attribute="1" defaultMemberUniqueName="[Table1].[Type of diet].[All]" allUniqueName="[Table1].[Type of diet].[All]" dimensionUniqueName="[Table1]" displayFolder="" count="0" memberValueDatatype="130" unbalanced="0"/>
    <cacheHierarchy uniqueName="[Table1].[Oily foods consumption]" caption="Oily foods consumption" attribute="1" defaultMemberUniqueName="[Table1].[Oily foods consumption].[All]" allUniqueName="[Table1].[Oily foods consumption].[All]" dimensionUniqueName="[Table1]" displayFolder="" count="0" memberValueDatatype="130" unbalanced="0"/>
    <cacheHierarchy uniqueName="[Table1].[fruits and vegetables consumption frequncy]" caption="fruits and vegetables consumption frequncy" attribute="1" defaultMemberUniqueName="[Table1].[fruits and vegetables consumption frequncy].[All]" allUniqueName="[Table1].[fruits and vegetables consumption frequncy].[All]" dimensionUniqueName="[Table1]" displayFolder="" count="0" memberValueDatatype="130" unbalanced="0"/>
    <cacheHierarchy uniqueName="[Table1].[Fast food consumption frequency]" caption="Fast food consumption frequency" attribute="1" defaultMemberUniqueName="[Table1].[Fast food consumption frequency].[All]" allUniqueName="[Table1].[Fast food consumption frequency].[All]" dimensionUniqueName="[Table1]" displayFolder="" count="0" memberValueDatatype="130" unbalanced="0"/>
    <cacheHierarchy uniqueName="[Table1].[Sugary products consumption]" caption="Sugary products consumption" attribute="1" defaultMemberUniqueName="[Table1].[Sugary products consumption].[All]" allUniqueName="[Table1].[Sugary products consumption].[All]" dimensionUniqueName="[Table1]" displayFolder="" count="0" memberValueDatatype="130" unbalanced="0"/>
    <cacheHierarchy uniqueName="[Table1].[Physical activity perform]" caption="Physical activity perform" attribute="1" defaultMemberUniqueName="[Table1].[Physical activity perform].[All]" allUniqueName="[Table1].[Physical activity perform].[All]" dimensionUniqueName="[Table1]" displayFolder="" count="0" memberValueDatatype="130" unbalanced="0"/>
    <cacheHierarchy uniqueName="[Table1].[Type of physical activity]" caption="Type of physical activity" attribute="1" defaultMemberUniqueName="[Table1].[Type of physical activity].[All]" allUniqueName="[Table1].[Type of physical activity].[All]" dimensionUniqueName="[Table1]" displayFolder="" count="0" memberValueDatatype="130" unbalanced="0"/>
    <cacheHierarchy uniqueName="[Table1].[Physical activity frequency]" caption="Physical activity frequency" attribute="1" defaultMemberUniqueName="[Table1].[Physical activity frequency].[All]" allUniqueName="[Table1].[Physical activity frequency].[All]" dimensionUniqueName="[Table1]" displayFolder="" count="0" memberValueDatatype="130" unbalanced="0"/>
    <cacheHierarchy uniqueName="[Table1].[Health issues]" caption="Health issues" attribute="1" defaultMemberUniqueName="[Table1].[Health issues].[All]" allUniqueName="[Table1].[Health issues].[All]" dimensionUniqueName="[Table1]" displayFolder="" count="0" memberValueDatatype="130" unbalanced="0"/>
    <cacheHierarchy uniqueName="[Table1].[Sleep duration]" caption="Sleep duration" attribute="1" defaultMemberUniqueName="[Table1].[Sleep duration].[All]" allUniqueName="[Table1].[Sleep duration].[All]" dimensionUniqueName="[Table1]" displayFolder="" count="0" memberValueDatatype="130" unbalanced="0"/>
    <cacheHierarchy uniqueName="[Table1].[Drinking water per day]" caption="Drinking water per day" attribute="1" defaultMemberUniqueName="[Table1].[Drinking water per day].[All]" allUniqueName="[Table1].[Drinking water per day].[All]" dimensionUniqueName="[Table1]" displayFolder="" count="0" memberValueDatatype="130" unbalanced="0"/>
    <cacheHierarchy uniqueName="[Table1].[Stress reduction practice]" caption="Stress reduction practice" attribute="1" defaultMemberUniqueName="[Table1].[Stress reduction practice].[All]" allUniqueName="[Table1].[Stress reduction practice].[All]" dimensionUniqueName="[Table1]" displayFolder="" count="0" memberValueDatatype="130" unbalanced="0"/>
    <cacheHierarchy uniqueName="[Table1].[Medical check-ups frequency]" caption="Medical check-ups frequency" attribute="1" defaultMemberUniqueName="[Table1].[Medical check-ups frequency].[All]" allUniqueName="[Table1].[Medical check-ups frequency].[All]" dimensionUniqueName="[Table1]" displayFolder="" count="0" memberValueDatatype="130" unbalanced="0"/>
    <cacheHierarchy uniqueName="[Table1].[BMI]" caption="BMI" attribute="1" defaultMemberUniqueName="[Table1].[BMI].[All]" allUniqueName="[Table1].[BMI].[All]" dimensionUniqueName="[Table1]" displayFolder="" count="0" memberValueDatatype="5" unbalanced="0"/>
    <cacheHierarchy uniqueName="[Table1].[BMI_Category]" caption="BMI_Category" attribute="1" defaultMemberUniqueName="[Table1].[BMI_Category].[All]" allUniqueName="[Table1].[BMI_Category].[All]" dimensionUniqueName="[Table1]" displayFolder="" count="0" memberValueDatatype="130" unbalanced="0"/>
    <cacheHierarchy uniqueName="[Table1].[Activity_Level]" caption="Activity_Level" attribute="1" defaultMemberUniqueName="[Table1].[Activity_Level].[All]" allUniqueName="[Table1].[Activity_Level].[All]" dimensionUniqueName="[Table1]" displayFolder="" count="0" memberValueDatatype="130" unbalanced="0"/>
    <cacheHierarchy uniqueName="[Table1 1].[Age Group]" caption="Age Group" attribute="1" defaultMemberUniqueName="[Table1 1].[Age Group].[All]" allUniqueName="[Table1 1].[Age Group].[All]" dimensionUniqueName="[Table1 1]" displayFolder="" count="2" memberValueDatatype="130" unbalanced="0"/>
    <cacheHierarchy uniqueName="[Table1 1].[Gender]" caption="Gender" attribute="1" defaultMemberUniqueName="[Table1 1].[Gender].[All]" allUniqueName="[Table1 1].[Gender].[All]" dimensionUniqueName="[Table1 1]" displayFolder="" count="2" memberValueDatatype="130" unbalanced="0"/>
    <cacheHierarchy uniqueName="[Table1 1].[Height(in cm)]" caption="Height(in cm)" attribute="1" defaultMemberUniqueName="[Table1 1].[Height(in cm)].[All]" allUniqueName="[Table1 1].[Height(in cm)].[All]" dimensionUniqueName="[Table1 1]" displayFolder="" count="0" memberValueDatatype="5" unbalanced="0"/>
    <cacheHierarchy uniqueName="[Table1 1].[Weight(in kg)]" caption="Weight(in kg)" attribute="1" defaultMemberUniqueName="[Table1 1].[Weight(in kg)].[All]" allUniqueName="[Table1 1].[Weight(in kg)].[All]" dimensionUniqueName="[Table1 1]" displayFolder="" count="0" memberValueDatatype="20" unbalanced="0"/>
    <cacheHierarchy uniqueName="[Table1 1].[Type of diet]" caption="Type of diet" attribute="1" defaultMemberUniqueName="[Table1 1].[Type of diet].[All]" allUniqueName="[Table1 1].[Type of diet].[All]" dimensionUniqueName="[Table1 1]" displayFolder="" count="0" memberValueDatatype="130" unbalanced="0"/>
    <cacheHierarchy uniqueName="[Table1 1].[Oily foods consumption]" caption="Oily foods consumption" attribute="1" defaultMemberUniqueName="[Table1 1].[Oily foods consumption].[All]" allUniqueName="[Table1 1].[Oily foods consumption].[All]" dimensionUniqueName="[Table1 1]" displayFolder="" count="0" memberValueDatatype="130" unbalanced="0"/>
    <cacheHierarchy uniqueName="[Table1 1].[fruits and vegetables consumption frequncy]" caption="fruits and vegetables consumption frequncy" attribute="1" defaultMemberUniqueName="[Table1 1].[fruits and vegetables consumption frequncy].[All]" allUniqueName="[Table1 1].[fruits and vegetables consumption frequncy].[All]" dimensionUniqueName="[Table1 1]" displayFolder="" count="0" memberValueDatatype="130" unbalanced="0"/>
    <cacheHierarchy uniqueName="[Table1 1].[Fast food consumption frequency]" caption="Fast food consumption frequency" attribute="1" defaultMemberUniqueName="[Table1 1].[Fast food consumption frequency].[All]" allUniqueName="[Table1 1].[Fast food consumption frequency].[All]" dimensionUniqueName="[Table1 1]" displayFolder="" count="0" memberValueDatatype="130" unbalanced="0"/>
    <cacheHierarchy uniqueName="[Table1 1].[Sugary products consumption]" caption="Sugary products consumption" attribute="1" defaultMemberUniqueName="[Table1 1].[Sugary products consumption].[All]" allUniqueName="[Table1 1].[Sugary products consumption].[All]" dimensionUniqueName="[Table1 1]" displayFolder="" count="0" memberValueDatatype="130" unbalanced="0"/>
    <cacheHierarchy uniqueName="[Table1 1].[Physical activity perform]" caption="Physical activity perform" attribute="1" defaultMemberUniqueName="[Table1 1].[Physical activity perform].[All]" allUniqueName="[Table1 1].[Physical activity perform].[All]" dimensionUniqueName="[Table1 1]" displayFolder="" count="0" memberValueDatatype="130" unbalanced="0"/>
    <cacheHierarchy uniqueName="[Table1 1].[Type of physical activity]" caption="Type of physical activity" attribute="1" defaultMemberUniqueName="[Table1 1].[Type of physical activity].[All]" allUniqueName="[Table1 1].[Type of physical activity].[All]" dimensionUniqueName="[Table1 1]" displayFolder="" count="0" memberValueDatatype="130" unbalanced="0"/>
    <cacheHierarchy uniqueName="[Table1 1].[Physical activity frequency]" caption="Physical activity frequency" attribute="1" defaultMemberUniqueName="[Table1 1].[Physical activity frequency].[All]" allUniqueName="[Table1 1].[Physical activity frequency].[All]" dimensionUniqueName="[Table1 1]" displayFolder="" count="0" memberValueDatatype="130" unbalanced="0"/>
    <cacheHierarchy uniqueName="[Table1 1].[Health issues]" caption="Health issues" attribute="1" defaultMemberUniqueName="[Table1 1].[Health issues].[All]" allUniqueName="[Table1 1].[Health issues].[All]" dimensionUniqueName="[Table1 1]" displayFolder="" count="0" memberValueDatatype="130" unbalanced="0"/>
    <cacheHierarchy uniqueName="[Table1 1].[Sleep duration]" caption="Sleep duration" attribute="1" defaultMemberUniqueName="[Table1 1].[Sleep duration].[All]" allUniqueName="[Table1 1].[Sleep duration].[All]" dimensionUniqueName="[Table1 1]" displayFolder="" count="0" memberValueDatatype="130" unbalanced="0"/>
    <cacheHierarchy uniqueName="[Table1 1].[Drinking water per day]" caption="Drinking water per day" attribute="1" defaultMemberUniqueName="[Table1 1].[Drinking water per day].[All]" allUniqueName="[Table1 1].[Drinking water per day].[All]" dimensionUniqueName="[Table1 1]" displayFolder="" count="0" memberValueDatatype="130" unbalanced="0"/>
    <cacheHierarchy uniqueName="[Table1 1].[Stress reduction practice]" caption="Stress reduction practice" attribute="1" defaultMemberUniqueName="[Table1 1].[Stress reduction practice].[All]" allUniqueName="[Table1 1].[Stress reduction practice].[All]" dimensionUniqueName="[Table1 1]" displayFolder="" count="0" memberValueDatatype="130" unbalanced="0"/>
    <cacheHierarchy uniqueName="[Table1 1].[Medical check-ups frequency]" caption="Medical check-ups frequency" attribute="1" defaultMemberUniqueName="[Table1 1].[Medical check-ups frequency].[All]" allUniqueName="[Table1 1].[Medical check-ups frequency].[All]" dimensionUniqueName="[Table1 1]" displayFolder="" count="0" memberValueDatatype="130" unbalanced="0"/>
    <cacheHierarchy uniqueName="[Table1 1].[BMI]" caption="BMI" attribute="1" defaultMemberUniqueName="[Table1 1].[BMI].[All]" allUniqueName="[Table1 1].[BMI].[All]" dimensionUniqueName="[Table1 1]" displayFolder="" count="0" memberValueDatatype="5" unbalanced="0"/>
    <cacheHierarchy uniqueName="[Table1_2].[Age Group]" caption="Age Group" attribute="1" defaultMemberUniqueName="[Table1_2].[Age Group].[All]" allUniqueName="[Table1_2].[Age Group].[All]" dimensionUniqueName="[Table1_2]" displayFolder="" count="0" memberValueDatatype="130" unbalanced="0"/>
    <cacheHierarchy uniqueName="[Table1_2].[Gender]" caption="Gender" attribute="1" defaultMemberUniqueName="[Table1_2].[Gender].[All]" allUniqueName="[Table1_2].[Gender].[All]" dimensionUniqueName="[Table1_2]" displayFolder="" count="0" memberValueDatatype="130" unbalanced="0"/>
    <cacheHierarchy uniqueName="[Table1_2].[Height(in cm)]" caption="Height(in cm)" attribute="1" defaultMemberUniqueName="[Table1_2].[Height(in cm)].[All]" allUniqueName="[Table1_2].[Height(in cm)].[All]" dimensionUniqueName="[Table1_2]" displayFolder="" count="0" memberValueDatatype="5" unbalanced="0"/>
    <cacheHierarchy uniqueName="[Table1_2].[Weight(in kg)]" caption="Weight(in kg)" attribute="1" defaultMemberUniqueName="[Table1_2].[Weight(in kg)].[All]" allUniqueName="[Table1_2].[Weight(in kg)].[All]" dimensionUniqueName="[Table1_2]" displayFolder="" count="0" memberValueDatatype="20" unbalanced="0"/>
    <cacheHierarchy uniqueName="[Table1_2].[Type of diet]" caption="Type of diet" attribute="1" defaultMemberUniqueName="[Table1_2].[Type of diet].[All]" allUniqueName="[Table1_2].[Type of diet].[All]" dimensionUniqueName="[Table1_2]" displayFolder="" count="0" memberValueDatatype="130" unbalanced="0"/>
    <cacheHierarchy uniqueName="[Table1_2].[Oily foods consumption]" caption="Oily foods consumption" attribute="1" defaultMemberUniqueName="[Table1_2].[Oily foods consumption].[All]" allUniqueName="[Table1_2].[Oily foods consumption].[All]" dimensionUniqueName="[Table1_2]" displayFolder="" count="0" memberValueDatatype="130" unbalanced="0"/>
    <cacheHierarchy uniqueName="[Table1_2].[fruits and vegetables consumption frequncy]" caption="fruits and vegetables consumption frequncy" attribute="1" defaultMemberUniqueName="[Table1_2].[fruits and vegetables consumption frequncy].[All]" allUniqueName="[Table1_2].[fruits and vegetables consumption frequncy].[All]" dimensionUniqueName="[Table1_2]" displayFolder="" count="0" memberValueDatatype="130" unbalanced="0"/>
    <cacheHierarchy uniqueName="[Table1_2].[Fast food consumption frequency]" caption="Fast food consumption frequency" attribute="1" defaultMemberUniqueName="[Table1_2].[Fast food consumption frequency].[All]" allUniqueName="[Table1_2].[Fast food consumption frequency].[All]" dimensionUniqueName="[Table1_2]" displayFolder="" count="2" memberValueDatatype="130" unbalanced="0">
      <fieldsUsage count="2">
        <fieldUsage x="-1"/>
        <fieldUsage x="0"/>
      </fieldsUsage>
    </cacheHierarchy>
    <cacheHierarchy uniqueName="[Table1_2].[Sugary products consumption]" caption="Sugary products consumption" attribute="1" defaultMemberUniqueName="[Table1_2].[Sugary products consumption].[All]" allUniqueName="[Table1_2].[Sugary products consumption].[All]" dimensionUniqueName="[Table1_2]" displayFolder="" count="0" memberValueDatatype="130" unbalanced="0"/>
    <cacheHierarchy uniqueName="[Table1_2].[Physical activity perform]" caption="Physical activity perform" attribute="1" defaultMemberUniqueName="[Table1_2].[Physical activity perform].[All]" allUniqueName="[Table1_2].[Physical activity perform].[All]" dimensionUniqueName="[Table1_2]" displayFolder="" count="0" memberValueDatatype="130" unbalanced="0"/>
    <cacheHierarchy uniqueName="[Table1_2].[Type of physical activity]" caption="Type of physical activity" attribute="1" defaultMemberUniqueName="[Table1_2].[Type of physical activity].[All]" allUniqueName="[Table1_2].[Type of physical activity].[All]" dimensionUniqueName="[Table1_2]" displayFolder="" count="0" memberValueDatatype="130" unbalanced="0"/>
    <cacheHierarchy uniqueName="[Table1_2].[Physical activity frequency]" caption="Physical activity frequency" attribute="1" defaultMemberUniqueName="[Table1_2].[Physical activity frequency].[All]" allUniqueName="[Table1_2].[Physical activity frequency].[All]" dimensionUniqueName="[Table1_2]" displayFolder="" count="0" memberValueDatatype="130" unbalanced="0"/>
    <cacheHierarchy uniqueName="[Table1_2].[Health issues]" caption="Health issues" attribute="1" defaultMemberUniqueName="[Table1_2].[Health issues].[All]" allUniqueName="[Table1_2].[Health issues].[All]" dimensionUniqueName="[Table1_2]" displayFolder="" count="2" memberValueDatatype="130" unbalanced="0">
      <fieldsUsage count="2">
        <fieldUsage x="-1"/>
        <fieldUsage x="3"/>
      </fieldsUsage>
    </cacheHierarchy>
    <cacheHierarchy uniqueName="[Table1_2].[Sleep duration]" caption="Sleep duration" attribute="1" defaultMemberUniqueName="[Table1_2].[Sleep duration].[All]" allUniqueName="[Table1_2].[Sleep duration].[All]" dimensionUniqueName="[Table1_2]" displayFolder="" count="0" memberValueDatatype="130" unbalanced="0"/>
    <cacheHierarchy uniqueName="[Table1_2].[Drinking water per day]" caption="Drinking water per day" attribute="1" defaultMemberUniqueName="[Table1_2].[Drinking water per day].[All]" allUniqueName="[Table1_2].[Drinking water per day].[All]" dimensionUniqueName="[Table1_2]" displayFolder="" count="0" memberValueDatatype="130" unbalanced="0"/>
    <cacheHierarchy uniqueName="[Table1_2].[Stress reduction practice]" caption="Stress reduction practice" attribute="1" defaultMemberUniqueName="[Table1_2].[Stress reduction practice].[All]" allUniqueName="[Table1_2].[Stress reduction practice].[All]" dimensionUniqueName="[Table1_2]" displayFolder="" count="0" memberValueDatatype="130" unbalanced="0"/>
    <cacheHierarchy uniqueName="[Table1_2].[Medical check-ups frequency]" caption="Medical check-ups frequency" attribute="1" defaultMemberUniqueName="[Table1_2].[Medical check-ups frequency].[All]" allUniqueName="[Table1_2].[Medical check-ups frequency].[All]" dimensionUniqueName="[Table1_2]" displayFolder="" count="0" memberValueDatatype="130" unbalanced="0"/>
    <cacheHierarchy uniqueName="[Table1_2].[BMI]" caption="BMI" attribute="1" defaultMemberUniqueName="[Table1_2].[BMI].[All]" allUniqueName="[Table1_2].[BMI].[All]" dimensionUniqueName="[Table1_2]" displayFolder="" count="0" memberValueDatatype="5" unbalanced="0"/>
    <cacheHierarchy uniqueName="[Table1_2].[BMI_Category]" caption="BMI_Category" attribute="1" defaultMemberUniqueName="[Table1_2].[BMI_Category].[All]" allUniqueName="[Table1_2].[BMI_Category].[All]" dimensionUniqueName="[Table1_2]" displayFolder="" count="2" memberValueDatatype="130" unbalanced="0">
      <fieldsUsage count="2">
        <fieldUsage x="-1"/>
        <fieldUsage x="1"/>
      </fieldsUsage>
    </cacheHierarchy>
    <cacheHierarchy uniqueName="[Table1_2].[Activity_Level]" caption="Activity_Level" attribute="1" defaultMemberUniqueName="[Table1_2].[Activity_Level].[All]" allUniqueName="[Table1_2].[Activity_Level].[All]" dimensionUniqueName="[Table1_2]" displayFolder="" count="0" memberValueDatatype="130" unbalanced="0"/>
    <cacheHierarchy uniqueName="[Measures].[__XL_Count Table1]" caption="__XL_Count Table1" measure="1" displayFolder="" measureGroup="Table1" count="0" hidden="1"/>
    <cacheHierarchy uniqueName="[Measures].[__XL_Count Table1_2]" caption="__XL_Count Table1_2" measure="1" displayFolder="" measureGroup="Table1_2" count="0" hidden="1"/>
    <cacheHierarchy uniqueName="[Measures].[__XL_Count Table1 1]" caption="__XL_Count Table1 1" measure="1" displayFolder="" measureGroup="Table1 1" count="0" hidden="1"/>
    <cacheHierarchy uniqueName="[Measures].[__No measures defined]" caption="__No measures defined" measure="1" displayFolder="" count="0" hidden="1"/>
    <cacheHierarchy uniqueName="[Measures].[Count of BMI_Category]" caption="Count of BMI_Category" measure="1" displayFolder="" measureGroup="Table1_2" count="0" oneField="1" hidden="1">
      <fieldsUsage count="1">
        <fieldUsage x="2"/>
      </fieldsUsage>
      <extLst>
        <ext xmlns:x15="http://schemas.microsoft.com/office/spreadsheetml/2010/11/main" uri="{B97F6D7D-B522-45F9-BDA1-12C45D357490}">
          <x15:cacheHierarchy aggregatedColumn="56"/>
        </ext>
      </extLst>
    </cacheHierarchy>
    <cacheHierarchy uniqueName="[Measures].[Sum of BMI]" caption="Sum of BMI" measure="1" displayFolder="" measureGroup="Table1_2" count="0" hidden="1">
      <extLst>
        <ext xmlns:x15="http://schemas.microsoft.com/office/spreadsheetml/2010/11/main" uri="{B97F6D7D-B522-45F9-BDA1-12C45D357490}">
          <x15:cacheHierarchy aggregatedColumn="55"/>
        </ext>
      </extLst>
    </cacheHierarchy>
    <cacheHierarchy uniqueName="[Measures].[Average of BMI]" caption="Average of BMI" measure="1" displayFolder="" measureGroup="Table1_2" count="0" hidden="1">
      <extLst>
        <ext xmlns:x15="http://schemas.microsoft.com/office/spreadsheetml/2010/11/main" uri="{B97F6D7D-B522-45F9-BDA1-12C45D357490}">
          <x15:cacheHierarchy aggregatedColumn="55"/>
        </ext>
      </extLst>
    </cacheHierarchy>
    <cacheHierarchy uniqueName="[Measures].[Count of Physical activity frequency]" caption="Count of Physical activity frequency" measure="1" displayFolder="" measureGroup="Table1_2" count="0" hidden="1">
      <extLst>
        <ext xmlns:x15="http://schemas.microsoft.com/office/spreadsheetml/2010/11/main" uri="{B97F6D7D-B522-45F9-BDA1-12C45D357490}">
          <x15:cacheHierarchy aggregatedColumn="49"/>
        </ext>
      </extLst>
    </cacheHierarchy>
    <cacheHierarchy uniqueName="[Measures].[Count of Health issues]" caption="Count of Health issues" measure="1" displayFolder="" measureGroup="Table1_2" count="0" hidden="1">
      <extLst>
        <ext xmlns:x15="http://schemas.microsoft.com/office/spreadsheetml/2010/11/main" uri="{B97F6D7D-B522-45F9-BDA1-12C45D357490}">
          <x15:cacheHierarchy aggregatedColumn="50"/>
        </ext>
      </extLst>
    </cacheHierarchy>
  </cacheHierarchies>
  <kpis count="0"/>
  <dimensions count="4">
    <dimension measure="1" name="Measures" uniqueName="[Measures]" caption="Measures"/>
    <dimension name="Table1" uniqueName="[Table1]" caption="Table1"/>
    <dimension name="Table1 1" uniqueName="[Table1 1]" caption="Table1 1"/>
    <dimension name="Table1_2" uniqueName="[Table1_2]" caption="Table1_2"/>
  </dimensions>
  <measureGroups count="3">
    <measureGroup name="Table1" caption="Table1"/>
    <measureGroup name="Table1 1" caption="Table1 1"/>
    <measureGroup name="Table1_2" caption="Table1_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2.516060069443" backgroundQuery="1" createdVersion="8" refreshedVersion="8" minRefreshableVersion="3" recordCount="0" supportSubquery="1" supportAdvancedDrill="1" xr:uid="{AB5CF2B3-0B97-4DA2-B4B1-3011BE6010FE}">
  <cacheSource type="external" connectionId="3"/>
  <cacheFields count="4">
    <cacheField name="[Table1_2].[Oily foods consumption].[Oily foods consumption]" caption="Oily foods consumption" numFmtId="0" hierarchy="43" level="1">
      <sharedItems count="5">
        <s v="Daily"/>
        <s v="Never"/>
        <s v="Often"/>
        <s v="Rarely"/>
        <s v="Sometimes"/>
      </sharedItems>
    </cacheField>
    <cacheField name="[Table1_2].[BMI_Category].[BMI_Category]" caption="BMI_Category" numFmtId="0" hierarchy="56" level="1">
      <sharedItems count="4">
        <s v="Normal"/>
        <s v="obese"/>
        <s v="Overweight"/>
        <s v="Underweight"/>
      </sharedItems>
    </cacheField>
    <cacheField name="[Measures].[Count of BMI_Category]" caption="Count of BMI_Category" numFmtId="0" hierarchy="62" level="32767"/>
    <cacheField name="[Table1_2].[Health issues].[Health issues]" caption="Health issues" numFmtId="0" hierarchy="50" level="1">
      <sharedItems containsSemiMixedTypes="0" containsNonDate="0" containsString="0"/>
    </cacheField>
  </cacheFields>
  <cacheHierarchies count="67">
    <cacheHierarchy uniqueName="[Table1].[Age Group]" caption="Age Group" attribute="1" defaultMemberUniqueName="[Table1].[Age Group].[All]" allUniqueName="[Table1].[Age Group].[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Height(in cm)]" caption="Height(in cm)" attribute="1" defaultMemberUniqueName="[Table1].[Height(in cm)].[All]" allUniqueName="[Table1].[Height(in cm)].[All]" dimensionUniqueName="[Table1]" displayFolder="" count="0" memberValueDatatype="5" unbalanced="0"/>
    <cacheHierarchy uniqueName="[Table1].[Weight(in kg)]" caption="Weight(in kg)" attribute="1" defaultMemberUniqueName="[Table1].[Weight(in kg)].[All]" allUniqueName="[Table1].[Weight(in kg)].[All]" dimensionUniqueName="[Table1]" displayFolder="" count="0" memberValueDatatype="20" unbalanced="0"/>
    <cacheHierarchy uniqueName="[Table1].[Type of diet]" caption="Type of diet" attribute="1" defaultMemberUniqueName="[Table1].[Type of diet].[All]" allUniqueName="[Table1].[Type of diet].[All]" dimensionUniqueName="[Table1]" displayFolder="" count="0" memberValueDatatype="130" unbalanced="0"/>
    <cacheHierarchy uniqueName="[Table1].[Oily foods consumption]" caption="Oily foods consumption" attribute="1" defaultMemberUniqueName="[Table1].[Oily foods consumption].[All]" allUniqueName="[Table1].[Oily foods consumption].[All]" dimensionUniqueName="[Table1]" displayFolder="" count="0" memberValueDatatype="130" unbalanced="0"/>
    <cacheHierarchy uniqueName="[Table1].[fruits and vegetables consumption frequncy]" caption="fruits and vegetables consumption frequncy" attribute="1" defaultMemberUniqueName="[Table1].[fruits and vegetables consumption frequncy].[All]" allUniqueName="[Table1].[fruits and vegetables consumption frequncy].[All]" dimensionUniqueName="[Table1]" displayFolder="" count="0" memberValueDatatype="130" unbalanced="0"/>
    <cacheHierarchy uniqueName="[Table1].[Fast food consumption frequency]" caption="Fast food consumption frequency" attribute="1" defaultMemberUniqueName="[Table1].[Fast food consumption frequency].[All]" allUniqueName="[Table1].[Fast food consumption frequency].[All]" dimensionUniqueName="[Table1]" displayFolder="" count="0" memberValueDatatype="130" unbalanced="0"/>
    <cacheHierarchy uniqueName="[Table1].[Sugary products consumption]" caption="Sugary products consumption" attribute="1" defaultMemberUniqueName="[Table1].[Sugary products consumption].[All]" allUniqueName="[Table1].[Sugary products consumption].[All]" dimensionUniqueName="[Table1]" displayFolder="" count="0" memberValueDatatype="130" unbalanced="0"/>
    <cacheHierarchy uniqueName="[Table1].[Physical activity perform]" caption="Physical activity perform" attribute="1" defaultMemberUniqueName="[Table1].[Physical activity perform].[All]" allUniqueName="[Table1].[Physical activity perform].[All]" dimensionUniqueName="[Table1]" displayFolder="" count="0" memberValueDatatype="130" unbalanced="0"/>
    <cacheHierarchy uniqueName="[Table1].[Type of physical activity]" caption="Type of physical activity" attribute="1" defaultMemberUniqueName="[Table1].[Type of physical activity].[All]" allUniqueName="[Table1].[Type of physical activity].[All]" dimensionUniqueName="[Table1]" displayFolder="" count="0" memberValueDatatype="130" unbalanced="0"/>
    <cacheHierarchy uniqueName="[Table1].[Physical activity frequency]" caption="Physical activity frequency" attribute="1" defaultMemberUniqueName="[Table1].[Physical activity frequency].[All]" allUniqueName="[Table1].[Physical activity frequency].[All]" dimensionUniqueName="[Table1]" displayFolder="" count="0" memberValueDatatype="130" unbalanced="0"/>
    <cacheHierarchy uniqueName="[Table1].[Health issues]" caption="Health issues" attribute="1" defaultMemberUniqueName="[Table1].[Health issues].[All]" allUniqueName="[Table1].[Health issues].[All]" dimensionUniqueName="[Table1]" displayFolder="" count="0" memberValueDatatype="130" unbalanced="0"/>
    <cacheHierarchy uniqueName="[Table1].[Sleep duration]" caption="Sleep duration" attribute="1" defaultMemberUniqueName="[Table1].[Sleep duration].[All]" allUniqueName="[Table1].[Sleep duration].[All]" dimensionUniqueName="[Table1]" displayFolder="" count="0" memberValueDatatype="130" unbalanced="0"/>
    <cacheHierarchy uniqueName="[Table1].[Drinking water per day]" caption="Drinking water per day" attribute="1" defaultMemberUniqueName="[Table1].[Drinking water per day].[All]" allUniqueName="[Table1].[Drinking water per day].[All]" dimensionUniqueName="[Table1]" displayFolder="" count="0" memberValueDatatype="130" unbalanced="0"/>
    <cacheHierarchy uniqueName="[Table1].[Stress reduction practice]" caption="Stress reduction practice" attribute="1" defaultMemberUniqueName="[Table1].[Stress reduction practice].[All]" allUniqueName="[Table1].[Stress reduction practice].[All]" dimensionUniqueName="[Table1]" displayFolder="" count="0" memberValueDatatype="130" unbalanced="0"/>
    <cacheHierarchy uniqueName="[Table1].[Medical check-ups frequency]" caption="Medical check-ups frequency" attribute="1" defaultMemberUniqueName="[Table1].[Medical check-ups frequency].[All]" allUniqueName="[Table1].[Medical check-ups frequency].[All]" dimensionUniqueName="[Table1]" displayFolder="" count="0" memberValueDatatype="130" unbalanced="0"/>
    <cacheHierarchy uniqueName="[Table1].[BMI]" caption="BMI" attribute="1" defaultMemberUniqueName="[Table1].[BMI].[All]" allUniqueName="[Table1].[BMI].[All]" dimensionUniqueName="[Table1]" displayFolder="" count="0" memberValueDatatype="5" unbalanced="0"/>
    <cacheHierarchy uniqueName="[Table1].[BMI_Category]" caption="BMI_Category" attribute="1" defaultMemberUniqueName="[Table1].[BMI_Category].[All]" allUniqueName="[Table1].[BMI_Category].[All]" dimensionUniqueName="[Table1]" displayFolder="" count="0" memberValueDatatype="130" unbalanced="0"/>
    <cacheHierarchy uniqueName="[Table1].[Activity_Level]" caption="Activity_Level" attribute="1" defaultMemberUniqueName="[Table1].[Activity_Level].[All]" allUniqueName="[Table1].[Activity_Level].[All]" dimensionUniqueName="[Table1]" displayFolder="" count="0" memberValueDatatype="130" unbalanced="0"/>
    <cacheHierarchy uniqueName="[Table1 1].[Age Group]" caption="Age Group" attribute="1" defaultMemberUniqueName="[Table1 1].[Age Group].[All]" allUniqueName="[Table1 1].[Age Group].[All]" dimensionUniqueName="[Table1 1]" displayFolder="" count="2" memberValueDatatype="130" unbalanced="0"/>
    <cacheHierarchy uniqueName="[Table1 1].[Gender]" caption="Gender" attribute="1" defaultMemberUniqueName="[Table1 1].[Gender].[All]" allUniqueName="[Table1 1].[Gender].[All]" dimensionUniqueName="[Table1 1]" displayFolder="" count="2" memberValueDatatype="130" unbalanced="0"/>
    <cacheHierarchy uniqueName="[Table1 1].[Height(in cm)]" caption="Height(in cm)" attribute="1" defaultMemberUniqueName="[Table1 1].[Height(in cm)].[All]" allUniqueName="[Table1 1].[Height(in cm)].[All]" dimensionUniqueName="[Table1 1]" displayFolder="" count="0" memberValueDatatype="5" unbalanced="0"/>
    <cacheHierarchy uniqueName="[Table1 1].[Weight(in kg)]" caption="Weight(in kg)" attribute="1" defaultMemberUniqueName="[Table1 1].[Weight(in kg)].[All]" allUniqueName="[Table1 1].[Weight(in kg)].[All]" dimensionUniqueName="[Table1 1]" displayFolder="" count="0" memberValueDatatype="20" unbalanced="0"/>
    <cacheHierarchy uniqueName="[Table1 1].[Type of diet]" caption="Type of diet" attribute="1" defaultMemberUniqueName="[Table1 1].[Type of diet].[All]" allUniqueName="[Table1 1].[Type of diet].[All]" dimensionUniqueName="[Table1 1]" displayFolder="" count="0" memberValueDatatype="130" unbalanced="0"/>
    <cacheHierarchy uniqueName="[Table1 1].[Oily foods consumption]" caption="Oily foods consumption" attribute="1" defaultMemberUniqueName="[Table1 1].[Oily foods consumption].[All]" allUniqueName="[Table1 1].[Oily foods consumption].[All]" dimensionUniqueName="[Table1 1]" displayFolder="" count="0" memberValueDatatype="130" unbalanced="0"/>
    <cacheHierarchy uniqueName="[Table1 1].[fruits and vegetables consumption frequncy]" caption="fruits and vegetables consumption frequncy" attribute="1" defaultMemberUniqueName="[Table1 1].[fruits and vegetables consumption frequncy].[All]" allUniqueName="[Table1 1].[fruits and vegetables consumption frequncy].[All]" dimensionUniqueName="[Table1 1]" displayFolder="" count="0" memberValueDatatype="130" unbalanced="0"/>
    <cacheHierarchy uniqueName="[Table1 1].[Fast food consumption frequency]" caption="Fast food consumption frequency" attribute="1" defaultMemberUniqueName="[Table1 1].[Fast food consumption frequency].[All]" allUniqueName="[Table1 1].[Fast food consumption frequency].[All]" dimensionUniqueName="[Table1 1]" displayFolder="" count="0" memberValueDatatype="130" unbalanced="0"/>
    <cacheHierarchy uniqueName="[Table1 1].[Sugary products consumption]" caption="Sugary products consumption" attribute="1" defaultMemberUniqueName="[Table1 1].[Sugary products consumption].[All]" allUniqueName="[Table1 1].[Sugary products consumption].[All]" dimensionUniqueName="[Table1 1]" displayFolder="" count="0" memberValueDatatype="130" unbalanced="0"/>
    <cacheHierarchy uniqueName="[Table1 1].[Physical activity perform]" caption="Physical activity perform" attribute="1" defaultMemberUniqueName="[Table1 1].[Physical activity perform].[All]" allUniqueName="[Table1 1].[Physical activity perform].[All]" dimensionUniqueName="[Table1 1]" displayFolder="" count="0" memberValueDatatype="130" unbalanced="0"/>
    <cacheHierarchy uniqueName="[Table1 1].[Type of physical activity]" caption="Type of physical activity" attribute="1" defaultMemberUniqueName="[Table1 1].[Type of physical activity].[All]" allUniqueName="[Table1 1].[Type of physical activity].[All]" dimensionUniqueName="[Table1 1]" displayFolder="" count="0" memberValueDatatype="130" unbalanced="0"/>
    <cacheHierarchy uniqueName="[Table1 1].[Physical activity frequency]" caption="Physical activity frequency" attribute="1" defaultMemberUniqueName="[Table1 1].[Physical activity frequency].[All]" allUniqueName="[Table1 1].[Physical activity frequency].[All]" dimensionUniqueName="[Table1 1]" displayFolder="" count="0" memberValueDatatype="130" unbalanced="0"/>
    <cacheHierarchy uniqueName="[Table1 1].[Health issues]" caption="Health issues" attribute="1" defaultMemberUniqueName="[Table1 1].[Health issues].[All]" allUniqueName="[Table1 1].[Health issues].[All]" dimensionUniqueName="[Table1 1]" displayFolder="" count="0" memberValueDatatype="130" unbalanced="0"/>
    <cacheHierarchy uniqueName="[Table1 1].[Sleep duration]" caption="Sleep duration" attribute="1" defaultMemberUniqueName="[Table1 1].[Sleep duration].[All]" allUniqueName="[Table1 1].[Sleep duration].[All]" dimensionUniqueName="[Table1 1]" displayFolder="" count="0" memberValueDatatype="130" unbalanced="0"/>
    <cacheHierarchy uniqueName="[Table1 1].[Drinking water per day]" caption="Drinking water per day" attribute="1" defaultMemberUniqueName="[Table1 1].[Drinking water per day].[All]" allUniqueName="[Table1 1].[Drinking water per day].[All]" dimensionUniqueName="[Table1 1]" displayFolder="" count="0" memberValueDatatype="130" unbalanced="0"/>
    <cacheHierarchy uniqueName="[Table1 1].[Stress reduction practice]" caption="Stress reduction practice" attribute="1" defaultMemberUniqueName="[Table1 1].[Stress reduction practice].[All]" allUniqueName="[Table1 1].[Stress reduction practice].[All]" dimensionUniqueName="[Table1 1]" displayFolder="" count="0" memberValueDatatype="130" unbalanced="0"/>
    <cacheHierarchy uniqueName="[Table1 1].[Medical check-ups frequency]" caption="Medical check-ups frequency" attribute="1" defaultMemberUniqueName="[Table1 1].[Medical check-ups frequency].[All]" allUniqueName="[Table1 1].[Medical check-ups frequency].[All]" dimensionUniqueName="[Table1 1]" displayFolder="" count="0" memberValueDatatype="130" unbalanced="0"/>
    <cacheHierarchy uniqueName="[Table1 1].[BMI]" caption="BMI" attribute="1" defaultMemberUniqueName="[Table1 1].[BMI].[All]" allUniqueName="[Table1 1].[BMI].[All]" dimensionUniqueName="[Table1 1]" displayFolder="" count="0" memberValueDatatype="5" unbalanced="0"/>
    <cacheHierarchy uniqueName="[Table1_2].[Age Group]" caption="Age Group" attribute="1" defaultMemberUniqueName="[Table1_2].[Age Group].[All]" allUniqueName="[Table1_2].[Age Group].[All]" dimensionUniqueName="[Table1_2]" displayFolder="" count="0" memberValueDatatype="130" unbalanced="0"/>
    <cacheHierarchy uniqueName="[Table1_2].[Gender]" caption="Gender" attribute="1" defaultMemberUniqueName="[Table1_2].[Gender].[All]" allUniqueName="[Table1_2].[Gender].[All]" dimensionUniqueName="[Table1_2]" displayFolder="" count="0" memberValueDatatype="130" unbalanced="0"/>
    <cacheHierarchy uniqueName="[Table1_2].[Height(in cm)]" caption="Height(in cm)" attribute="1" defaultMemberUniqueName="[Table1_2].[Height(in cm)].[All]" allUniqueName="[Table1_2].[Height(in cm)].[All]" dimensionUniqueName="[Table1_2]" displayFolder="" count="0" memberValueDatatype="5" unbalanced="0"/>
    <cacheHierarchy uniqueName="[Table1_2].[Weight(in kg)]" caption="Weight(in kg)" attribute="1" defaultMemberUniqueName="[Table1_2].[Weight(in kg)].[All]" allUniqueName="[Table1_2].[Weight(in kg)].[All]" dimensionUniqueName="[Table1_2]" displayFolder="" count="0" memberValueDatatype="20" unbalanced="0"/>
    <cacheHierarchy uniqueName="[Table1_2].[Type of diet]" caption="Type of diet" attribute="1" defaultMemberUniqueName="[Table1_2].[Type of diet].[All]" allUniqueName="[Table1_2].[Type of diet].[All]" dimensionUniqueName="[Table1_2]" displayFolder="" count="0" memberValueDatatype="130" unbalanced="0"/>
    <cacheHierarchy uniqueName="[Table1_2].[Oily foods consumption]" caption="Oily foods consumption" attribute="1" defaultMemberUniqueName="[Table1_2].[Oily foods consumption].[All]" allUniqueName="[Table1_2].[Oily foods consumption].[All]" dimensionUniqueName="[Table1_2]" displayFolder="" count="2" memberValueDatatype="130" unbalanced="0">
      <fieldsUsage count="2">
        <fieldUsage x="-1"/>
        <fieldUsage x="0"/>
      </fieldsUsage>
    </cacheHierarchy>
    <cacheHierarchy uniqueName="[Table1_2].[fruits and vegetables consumption frequncy]" caption="fruits and vegetables consumption frequncy" attribute="1" defaultMemberUniqueName="[Table1_2].[fruits and vegetables consumption frequncy].[All]" allUniqueName="[Table1_2].[fruits and vegetables consumption frequncy].[All]" dimensionUniqueName="[Table1_2]" displayFolder="" count="0" memberValueDatatype="130" unbalanced="0"/>
    <cacheHierarchy uniqueName="[Table1_2].[Fast food consumption frequency]" caption="Fast food consumption frequency" attribute="1" defaultMemberUniqueName="[Table1_2].[Fast food consumption frequency].[All]" allUniqueName="[Table1_2].[Fast food consumption frequency].[All]" dimensionUniqueName="[Table1_2]" displayFolder="" count="0" memberValueDatatype="130" unbalanced="0"/>
    <cacheHierarchy uniqueName="[Table1_2].[Sugary products consumption]" caption="Sugary products consumption" attribute="1" defaultMemberUniqueName="[Table1_2].[Sugary products consumption].[All]" allUniqueName="[Table1_2].[Sugary products consumption].[All]" dimensionUniqueName="[Table1_2]" displayFolder="" count="0" memberValueDatatype="130" unbalanced="0"/>
    <cacheHierarchy uniqueName="[Table1_2].[Physical activity perform]" caption="Physical activity perform" attribute="1" defaultMemberUniqueName="[Table1_2].[Physical activity perform].[All]" allUniqueName="[Table1_2].[Physical activity perform].[All]" dimensionUniqueName="[Table1_2]" displayFolder="" count="0" memberValueDatatype="130" unbalanced="0"/>
    <cacheHierarchy uniqueName="[Table1_2].[Type of physical activity]" caption="Type of physical activity" attribute="1" defaultMemberUniqueName="[Table1_2].[Type of physical activity].[All]" allUniqueName="[Table1_2].[Type of physical activity].[All]" dimensionUniqueName="[Table1_2]" displayFolder="" count="0" memberValueDatatype="130" unbalanced="0"/>
    <cacheHierarchy uniqueName="[Table1_2].[Physical activity frequency]" caption="Physical activity frequency" attribute="1" defaultMemberUniqueName="[Table1_2].[Physical activity frequency].[All]" allUniqueName="[Table1_2].[Physical activity frequency].[All]" dimensionUniqueName="[Table1_2]" displayFolder="" count="0" memberValueDatatype="130" unbalanced="0"/>
    <cacheHierarchy uniqueName="[Table1_2].[Health issues]" caption="Health issues" attribute="1" defaultMemberUniqueName="[Table1_2].[Health issues].[All]" allUniqueName="[Table1_2].[Health issues].[All]" dimensionUniqueName="[Table1_2]" displayFolder="" count="2" memberValueDatatype="130" unbalanced="0">
      <fieldsUsage count="2">
        <fieldUsage x="-1"/>
        <fieldUsage x="3"/>
      </fieldsUsage>
    </cacheHierarchy>
    <cacheHierarchy uniqueName="[Table1_2].[Sleep duration]" caption="Sleep duration" attribute="1" defaultMemberUniqueName="[Table1_2].[Sleep duration].[All]" allUniqueName="[Table1_2].[Sleep duration].[All]" dimensionUniqueName="[Table1_2]" displayFolder="" count="0" memberValueDatatype="130" unbalanced="0"/>
    <cacheHierarchy uniqueName="[Table1_2].[Drinking water per day]" caption="Drinking water per day" attribute="1" defaultMemberUniqueName="[Table1_2].[Drinking water per day].[All]" allUniqueName="[Table1_2].[Drinking water per day].[All]" dimensionUniqueName="[Table1_2]" displayFolder="" count="0" memberValueDatatype="130" unbalanced="0"/>
    <cacheHierarchy uniqueName="[Table1_2].[Stress reduction practice]" caption="Stress reduction practice" attribute="1" defaultMemberUniqueName="[Table1_2].[Stress reduction practice].[All]" allUniqueName="[Table1_2].[Stress reduction practice].[All]" dimensionUniqueName="[Table1_2]" displayFolder="" count="0" memberValueDatatype="130" unbalanced="0"/>
    <cacheHierarchy uniqueName="[Table1_2].[Medical check-ups frequency]" caption="Medical check-ups frequency" attribute="1" defaultMemberUniqueName="[Table1_2].[Medical check-ups frequency].[All]" allUniqueName="[Table1_2].[Medical check-ups frequency].[All]" dimensionUniqueName="[Table1_2]" displayFolder="" count="0" memberValueDatatype="130" unbalanced="0"/>
    <cacheHierarchy uniqueName="[Table1_2].[BMI]" caption="BMI" attribute="1" defaultMemberUniqueName="[Table1_2].[BMI].[All]" allUniqueName="[Table1_2].[BMI].[All]" dimensionUniqueName="[Table1_2]" displayFolder="" count="0" memberValueDatatype="5" unbalanced="0"/>
    <cacheHierarchy uniqueName="[Table1_2].[BMI_Category]" caption="BMI_Category" attribute="1" defaultMemberUniqueName="[Table1_2].[BMI_Category].[All]" allUniqueName="[Table1_2].[BMI_Category].[All]" dimensionUniqueName="[Table1_2]" displayFolder="" count="2" memberValueDatatype="130" unbalanced="0">
      <fieldsUsage count="2">
        <fieldUsage x="-1"/>
        <fieldUsage x="1"/>
      </fieldsUsage>
    </cacheHierarchy>
    <cacheHierarchy uniqueName="[Table1_2].[Activity_Level]" caption="Activity_Level" attribute="1" defaultMemberUniqueName="[Table1_2].[Activity_Level].[All]" allUniqueName="[Table1_2].[Activity_Level].[All]" dimensionUniqueName="[Table1_2]" displayFolder="" count="0" memberValueDatatype="130" unbalanced="0"/>
    <cacheHierarchy uniqueName="[Measures].[__XL_Count Table1]" caption="__XL_Count Table1" measure="1" displayFolder="" measureGroup="Table1" count="0" hidden="1"/>
    <cacheHierarchy uniqueName="[Measures].[__XL_Count Table1_2]" caption="__XL_Count Table1_2" measure="1" displayFolder="" measureGroup="Table1_2" count="0" hidden="1"/>
    <cacheHierarchy uniqueName="[Measures].[__XL_Count Table1 1]" caption="__XL_Count Table1 1" measure="1" displayFolder="" measureGroup="Table1 1" count="0" hidden="1"/>
    <cacheHierarchy uniqueName="[Measures].[__No measures defined]" caption="__No measures defined" measure="1" displayFolder="" count="0" hidden="1"/>
    <cacheHierarchy uniqueName="[Measures].[Count of BMI_Category]" caption="Count of BMI_Category" measure="1" displayFolder="" measureGroup="Table1_2" count="0" oneField="1" hidden="1">
      <fieldsUsage count="1">
        <fieldUsage x="2"/>
      </fieldsUsage>
      <extLst>
        <ext xmlns:x15="http://schemas.microsoft.com/office/spreadsheetml/2010/11/main" uri="{B97F6D7D-B522-45F9-BDA1-12C45D357490}">
          <x15:cacheHierarchy aggregatedColumn="56"/>
        </ext>
      </extLst>
    </cacheHierarchy>
    <cacheHierarchy uniqueName="[Measures].[Sum of BMI]" caption="Sum of BMI" measure="1" displayFolder="" measureGroup="Table1_2" count="0" hidden="1">
      <extLst>
        <ext xmlns:x15="http://schemas.microsoft.com/office/spreadsheetml/2010/11/main" uri="{B97F6D7D-B522-45F9-BDA1-12C45D357490}">
          <x15:cacheHierarchy aggregatedColumn="55"/>
        </ext>
      </extLst>
    </cacheHierarchy>
    <cacheHierarchy uniqueName="[Measures].[Average of BMI]" caption="Average of BMI" measure="1" displayFolder="" measureGroup="Table1_2" count="0" hidden="1">
      <extLst>
        <ext xmlns:x15="http://schemas.microsoft.com/office/spreadsheetml/2010/11/main" uri="{B97F6D7D-B522-45F9-BDA1-12C45D357490}">
          <x15:cacheHierarchy aggregatedColumn="55"/>
        </ext>
      </extLst>
    </cacheHierarchy>
    <cacheHierarchy uniqueName="[Measures].[Count of Physical activity frequency]" caption="Count of Physical activity frequency" measure="1" displayFolder="" measureGroup="Table1_2" count="0" hidden="1">
      <extLst>
        <ext xmlns:x15="http://schemas.microsoft.com/office/spreadsheetml/2010/11/main" uri="{B97F6D7D-B522-45F9-BDA1-12C45D357490}">
          <x15:cacheHierarchy aggregatedColumn="49"/>
        </ext>
      </extLst>
    </cacheHierarchy>
    <cacheHierarchy uniqueName="[Measures].[Count of Health issues]" caption="Count of Health issues" measure="1" displayFolder="" measureGroup="Table1_2" count="0" hidden="1">
      <extLst>
        <ext xmlns:x15="http://schemas.microsoft.com/office/spreadsheetml/2010/11/main" uri="{B97F6D7D-B522-45F9-BDA1-12C45D357490}">
          <x15:cacheHierarchy aggregatedColumn="50"/>
        </ext>
      </extLst>
    </cacheHierarchy>
  </cacheHierarchies>
  <kpis count="0"/>
  <dimensions count="4">
    <dimension measure="1" name="Measures" uniqueName="[Measures]" caption="Measures"/>
    <dimension name="Table1" uniqueName="[Table1]" caption="Table1"/>
    <dimension name="Table1 1" uniqueName="[Table1 1]" caption="Table1 1"/>
    <dimension name="Table1_2" uniqueName="[Table1_2]" caption="Table1_2"/>
  </dimensions>
  <measureGroups count="3">
    <measureGroup name="Table1" caption="Table1"/>
    <measureGroup name="Table1 1" caption="Table1 1"/>
    <measureGroup name="Table1_2" caption="Table1_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2.51606076389" backgroundQuery="1" createdVersion="8" refreshedVersion="8" minRefreshableVersion="3" recordCount="0" supportSubquery="1" supportAdvancedDrill="1" xr:uid="{AEB4FA94-9DCE-4E05-AB3F-9C8E342D683A}">
  <cacheSource type="external" connectionId="3"/>
  <cacheFields count="3">
    <cacheField name="[Table1_2].[Medical check-ups frequency].[Medical check-ups frequency]" caption="Medical check-ups frequency" numFmtId="0" hierarchy="54" level="1">
      <sharedItems count="5">
        <s v="Every 2-3 years"/>
        <s v="Every 6 months"/>
        <s v="Never"/>
        <s v="Once a year"/>
        <s v="Only when sick"/>
      </sharedItems>
    </cacheField>
    <cacheField name="[Table1_2].[Health issues].[Health issues]" caption="Health issues" numFmtId="0" hierarchy="50" level="1">
      <sharedItems count="18">
        <s v=" Fatigue (Frequent tiredness)"/>
        <s v=" Stress/Anxiety,Insomnia (Poor sleep)"/>
        <s v="Digestive problems (acidity, constipation, bloating, etc)"/>
        <s v="Digestive problems (acidity, constipation, bloating, etc), Low immunity (fall sick often)"/>
        <s v="Fatigue (Frequent tiredness)"/>
        <s v="Fatigue (Frequent tiredness), Low immunity (fall sick often)"/>
        <s v="Fatigue (Frequent tiredness), Stress or Anxiety"/>
        <s v="Insomnia (Poor sleep)"/>
        <s v="Insomnia (Poor sleep), Digestive problems (acidity, constipation, bloating, etc)"/>
        <s v="Insomnia (Poor sleep), Stress or Anxiety, Digestive problems (acidity, constipation, bloating, etc)"/>
        <s v="Insomnia (Poor sleep),Low immunity (fall sick often)"/>
        <s v="Low immunity (fall sick often)"/>
        <s v="Low immunity (fall sick often), Other"/>
        <s v="None"/>
        <s v="Other, Digestive problems (acidity, constipation, bloating, etc)"/>
        <s v="Other,Insomnia (Poor sleep)"/>
        <s v="Stress or Anxiety"/>
        <s v="Stress or Anxiety, Digestive problems (acidity, constipation, bloating, etc)"/>
      </sharedItems>
    </cacheField>
    <cacheField name="[Measures].[Count of Health issues]" caption="Count of Health issues" numFmtId="0" hierarchy="66" level="32767"/>
  </cacheFields>
  <cacheHierarchies count="67">
    <cacheHierarchy uniqueName="[Table1].[Age Group]" caption="Age Group" attribute="1" defaultMemberUniqueName="[Table1].[Age Group].[All]" allUniqueName="[Table1].[Age Group].[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Height(in cm)]" caption="Height(in cm)" attribute="1" defaultMemberUniqueName="[Table1].[Height(in cm)].[All]" allUniqueName="[Table1].[Height(in cm)].[All]" dimensionUniqueName="[Table1]" displayFolder="" count="0" memberValueDatatype="5" unbalanced="0"/>
    <cacheHierarchy uniqueName="[Table1].[Weight(in kg)]" caption="Weight(in kg)" attribute="1" defaultMemberUniqueName="[Table1].[Weight(in kg)].[All]" allUniqueName="[Table1].[Weight(in kg)].[All]" dimensionUniqueName="[Table1]" displayFolder="" count="0" memberValueDatatype="20" unbalanced="0"/>
    <cacheHierarchy uniqueName="[Table1].[Type of diet]" caption="Type of diet" attribute="1" defaultMemberUniqueName="[Table1].[Type of diet].[All]" allUniqueName="[Table1].[Type of diet].[All]" dimensionUniqueName="[Table1]" displayFolder="" count="0" memberValueDatatype="130" unbalanced="0"/>
    <cacheHierarchy uniqueName="[Table1].[Oily foods consumption]" caption="Oily foods consumption" attribute="1" defaultMemberUniqueName="[Table1].[Oily foods consumption].[All]" allUniqueName="[Table1].[Oily foods consumption].[All]" dimensionUniqueName="[Table1]" displayFolder="" count="0" memberValueDatatype="130" unbalanced="0"/>
    <cacheHierarchy uniqueName="[Table1].[fruits and vegetables consumption frequncy]" caption="fruits and vegetables consumption frequncy" attribute="1" defaultMemberUniqueName="[Table1].[fruits and vegetables consumption frequncy].[All]" allUniqueName="[Table1].[fruits and vegetables consumption frequncy].[All]" dimensionUniqueName="[Table1]" displayFolder="" count="0" memberValueDatatype="130" unbalanced="0"/>
    <cacheHierarchy uniqueName="[Table1].[Fast food consumption frequency]" caption="Fast food consumption frequency" attribute="1" defaultMemberUniqueName="[Table1].[Fast food consumption frequency].[All]" allUniqueName="[Table1].[Fast food consumption frequency].[All]" dimensionUniqueName="[Table1]" displayFolder="" count="0" memberValueDatatype="130" unbalanced="0"/>
    <cacheHierarchy uniqueName="[Table1].[Sugary products consumption]" caption="Sugary products consumption" attribute="1" defaultMemberUniqueName="[Table1].[Sugary products consumption].[All]" allUniqueName="[Table1].[Sugary products consumption].[All]" dimensionUniqueName="[Table1]" displayFolder="" count="0" memberValueDatatype="130" unbalanced="0"/>
    <cacheHierarchy uniqueName="[Table1].[Physical activity perform]" caption="Physical activity perform" attribute="1" defaultMemberUniqueName="[Table1].[Physical activity perform].[All]" allUniqueName="[Table1].[Physical activity perform].[All]" dimensionUniqueName="[Table1]" displayFolder="" count="0" memberValueDatatype="130" unbalanced="0"/>
    <cacheHierarchy uniqueName="[Table1].[Type of physical activity]" caption="Type of physical activity" attribute="1" defaultMemberUniqueName="[Table1].[Type of physical activity].[All]" allUniqueName="[Table1].[Type of physical activity].[All]" dimensionUniqueName="[Table1]" displayFolder="" count="0" memberValueDatatype="130" unbalanced="0"/>
    <cacheHierarchy uniqueName="[Table1].[Physical activity frequency]" caption="Physical activity frequency" attribute="1" defaultMemberUniqueName="[Table1].[Physical activity frequency].[All]" allUniqueName="[Table1].[Physical activity frequency].[All]" dimensionUniqueName="[Table1]" displayFolder="" count="0" memberValueDatatype="130" unbalanced="0"/>
    <cacheHierarchy uniqueName="[Table1].[Health issues]" caption="Health issues" attribute="1" defaultMemberUniqueName="[Table1].[Health issues].[All]" allUniqueName="[Table1].[Health issues].[All]" dimensionUniqueName="[Table1]" displayFolder="" count="0" memberValueDatatype="130" unbalanced="0"/>
    <cacheHierarchy uniqueName="[Table1].[Sleep duration]" caption="Sleep duration" attribute="1" defaultMemberUniqueName="[Table1].[Sleep duration].[All]" allUniqueName="[Table1].[Sleep duration].[All]" dimensionUniqueName="[Table1]" displayFolder="" count="0" memberValueDatatype="130" unbalanced="0"/>
    <cacheHierarchy uniqueName="[Table1].[Drinking water per day]" caption="Drinking water per day" attribute="1" defaultMemberUniqueName="[Table1].[Drinking water per day].[All]" allUniqueName="[Table1].[Drinking water per day].[All]" dimensionUniqueName="[Table1]" displayFolder="" count="0" memberValueDatatype="130" unbalanced="0"/>
    <cacheHierarchy uniqueName="[Table1].[Stress reduction practice]" caption="Stress reduction practice" attribute="1" defaultMemberUniqueName="[Table1].[Stress reduction practice].[All]" allUniqueName="[Table1].[Stress reduction practice].[All]" dimensionUniqueName="[Table1]" displayFolder="" count="0" memberValueDatatype="130" unbalanced="0"/>
    <cacheHierarchy uniqueName="[Table1].[Medical check-ups frequency]" caption="Medical check-ups frequency" attribute="1" defaultMemberUniqueName="[Table1].[Medical check-ups frequency].[All]" allUniqueName="[Table1].[Medical check-ups frequency].[All]" dimensionUniqueName="[Table1]" displayFolder="" count="0" memberValueDatatype="130" unbalanced="0"/>
    <cacheHierarchy uniqueName="[Table1].[BMI]" caption="BMI" attribute="1" defaultMemberUniqueName="[Table1].[BMI].[All]" allUniqueName="[Table1].[BMI].[All]" dimensionUniqueName="[Table1]" displayFolder="" count="0" memberValueDatatype="5" unbalanced="0"/>
    <cacheHierarchy uniqueName="[Table1].[BMI_Category]" caption="BMI_Category" attribute="1" defaultMemberUniqueName="[Table1].[BMI_Category].[All]" allUniqueName="[Table1].[BMI_Category].[All]" dimensionUniqueName="[Table1]" displayFolder="" count="0" memberValueDatatype="130" unbalanced="0"/>
    <cacheHierarchy uniqueName="[Table1].[Activity_Level]" caption="Activity_Level" attribute="1" defaultMemberUniqueName="[Table1].[Activity_Level].[All]" allUniqueName="[Table1].[Activity_Level].[All]" dimensionUniqueName="[Table1]" displayFolder="" count="0" memberValueDatatype="130" unbalanced="0"/>
    <cacheHierarchy uniqueName="[Table1 1].[Age Group]" caption="Age Group" attribute="1" defaultMemberUniqueName="[Table1 1].[Age Group].[All]" allUniqueName="[Table1 1].[Age Group].[All]" dimensionUniqueName="[Table1 1]" displayFolder="" count="2" memberValueDatatype="130" unbalanced="0"/>
    <cacheHierarchy uniqueName="[Table1 1].[Gender]" caption="Gender" attribute="1" defaultMemberUniqueName="[Table1 1].[Gender].[All]" allUniqueName="[Table1 1].[Gender].[All]" dimensionUniqueName="[Table1 1]" displayFolder="" count="2" memberValueDatatype="130" unbalanced="0"/>
    <cacheHierarchy uniqueName="[Table1 1].[Height(in cm)]" caption="Height(in cm)" attribute="1" defaultMemberUniqueName="[Table1 1].[Height(in cm)].[All]" allUniqueName="[Table1 1].[Height(in cm)].[All]" dimensionUniqueName="[Table1 1]" displayFolder="" count="0" memberValueDatatype="5" unbalanced="0"/>
    <cacheHierarchy uniqueName="[Table1 1].[Weight(in kg)]" caption="Weight(in kg)" attribute="1" defaultMemberUniqueName="[Table1 1].[Weight(in kg)].[All]" allUniqueName="[Table1 1].[Weight(in kg)].[All]" dimensionUniqueName="[Table1 1]" displayFolder="" count="0" memberValueDatatype="20" unbalanced="0"/>
    <cacheHierarchy uniqueName="[Table1 1].[Type of diet]" caption="Type of diet" attribute="1" defaultMemberUniqueName="[Table1 1].[Type of diet].[All]" allUniqueName="[Table1 1].[Type of diet].[All]" dimensionUniqueName="[Table1 1]" displayFolder="" count="0" memberValueDatatype="130" unbalanced="0"/>
    <cacheHierarchy uniqueName="[Table1 1].[Oily foods consumption]" caption="Oily foods consumption" attribute="1" defaultMemberUniqueName="[Table1 1].[Oily foods consumption].[All]" allUniqueName="[Table1 1].[Oily foods consumption].[All]" dimensionUniqueName="[Table1 1]" displayFolder="" count="0" memberValueDatatype="130" unbalanced="0"/>
    <cacheHierarchy uniqueName="[Table1 1].[fruits and vegetables consumption frequncy]" caption="fruits and vegetables consumption frequncy" attribute="1" defaultMemberUniqueName="[Table1 1].[fruits and vegetables consumption frequncy].[All]" allUniqueName="[Table1 1].[fruits and vegetables consumption frequncy].[All]" dimensionUniqueName="[Table1 1]" displayFolder="" count="0" memberValueDatatype="130" unbalanced="0"/>
    <cacheHierarchy uniqueName="[Table1 1].[Fast food consumption frequency]" caption="Fast food consumption frequency" attribute="1" defaultMemberUniqueName="[Table1 1].[Fast food consumption frequency].[All]" allUniqueName="[Table1 1].[Fast food consumption frequency].[All]" dimensionUniqueName="[Table1 1]" displayFolder="" count="0" memberValueDatatype="130" unbalanced="0"/>
    <cacheHierarchy uniqueName="[Table1 1].[Sugary products consumption]" caption="Sugary products consumption" attribute="1" defaultMemberUniqueName="[Table1 1].[Sugary products consumption].[All]" allUniqueName="[Table1 1].[Sugary products consumption].[All]" dimensionUniqueName="[Table1 1]" displayFolder="" count="0" memberValueDatatype="130" unbalanced="0"/>
    <cacheHierarchy uniqueName="[Table1 1].[Physical activity perform]" caption="Physical activity perform" attribute="1" defaultMemberUniqueName="[Table1 1].[Physical activity perform].[All]" allUniqueName="[Table1 1].[Physical activity perform].[All]" dimensionUniqueName="[Table1 1]" displayFolder="" count="0" memberValueDatatype="130" unbalanced="0"/>
    <cacheHierarchy uniqueName="[Table1 1].[Type of physical activity]" caption="Type of physical activity" attribute="1" defaultMemberUniqueName="[Table1 1].[Type of physical activity].[All]" allUniqueName="[Table1 1].[Type of physical activity].[All]" dimensionUniqueName="[Table1 1]" displayFolder="" count="0" memberValueDatatype="130" unbalanced="0"/>
    <cacheHierarchy uniqueName="[Table1 1].[Physical activity frequency]" caption="Physical activity frequency" attribute="1" defaultMemberUniqueName="[Table1 1].[Physical activity frequency].[All]" allUniqueName="[Table1 1].[Physical activity frequency].[All]" dimensionUniqueName="[Table1 1]" displayFolder="" count="0" memberValueDatatype="130" unbalanced="0"/>
    <cacheHierarchy uniqueName="[Table1 1].[Health issues]" caption="Health issues" attribute="1" defaultMemberUniqueName="[Table1 1].[Health issues].[All]" allUniqueName="[Table1 1].[Health issues].[All]" dimensionUniqueName="[Table1 1]" displayFolder="" count="0" memberValueDatatype="130" unbalanced="0"/>
    <cacheHierarchy uniqueName="[Table1 1].[Sleep duration]" caption="Sleep duration" attribute="1" defaultMemberUniqueName="[Table1 1].[Sleep duration].[All]" allUniqueName="[Table1 1].[Sleep duration].[All]" dimensionUniqueName="[Table1 1]" displayFolder="" count="0" memberValueDatatype="130" unbalanced="0"/>
    <cacheHierarchy uniqueName="[Table1 1].[Drinking water per day]" caption="Drinking water per day" attribute="1" defaultMemberUniqueName="[Table1 1].[Drinking water per day].[All]" allUniqueName="[Table1 1].[Drinking water per day].[All]" dimensionUniqueName="[Table1 1]" displayFolder="" count="0" memberValueDatatype="130" unbalanced="0"/>
    <cacheHierarchy uniqueName="[Table1 1].[Stress reduction practice]" caption="Stress reduction practice" attribute="1" defaultMemberUniqueName="[Table1 1].[Stress reduction practice].[All]" allUniqueName="[Table1 1].[Stress reduction practice].[All]" dimensionUniqueName="[Table1 1]" displayFolder="" count="0" memberValueDatatype="130" unbalanced="0"/>
    <cacheHierarchy uniqueName="[Table1 1].[Medical check-ups frequency]" caption="Medical check-ups frequency" attribute="1" defaultMemberUniqueName="[Table1 1].[Medical check-ups frequency].[All]" allUniqueName="[Table1 1].[Medical check-ups frequency].[All]" dimensionUniqueName="[Table1 1]" displayFolder="" count="0" memberValueDatatype="130" unbalanced="0"/>
    <cacheHierarchy uniqueName="[Table1 1].[BMI]" caption="BMI" attribute="1" defaultMemberUniqueName="[Table1 1].[BMI].[All]" allUniqueName="[Table1 1].[BMI].[All]" dimensionUniqueName="[Table1 1]" displayFolder="" count="0" memberValueDatatype="5" unbalanced="0"/>
    <cacheHierarchy uniqueName="[Table1_2].[Age Group]" caption="Age Group" attribute="1" defaultMemberUniqueName="[Table1_2].[Age Group].[All]" allUniqueName="[Table1_2].[Age Group].[All]" dimensionUniqueName="[Table1_2]" displayFolder="" count="0" memberValueDatatype="130" unbalanced="0"/>
    <cacheHierarchy uniqueName="[Table1_2].[Gender]" caption="Gender" attribute="1" defaultMemberUniqueName="[Table1_2].[Gender].[All]" allUniqueName="[Table1_2].[Gender].[All]" dimensionUniqueName="[Table1_2]" displayFolder="" count="0" memberValueDatatype="130" unbalanced="0"/>
    <cacheHierarchy uniqueName="[Table1_2].[Height(in cm)]" caption="Height(in cm)" attribute="1" defaultMemberUniqueName="[Table1_2].[Height(in cm)].[All]" allUniqueName="[Table1_2].[Height(in cm)].[All]" dimensionUniqueName="[Table1_2]" displayFolder="" count="0" memberValueDatatype="5" unbalanced="0"/>
    <cacheHierarchy uniqueName="[Table1_2].[Weight(in kg)]" caption="Weight(in kg)" attribute="1" defaultMemberUniqueName="[Table1_2].[Weight(in kg)].[All]" allUniqueName="[Table1_2].[Weight(in kg)].[All]" dimensionUniqueName="[Table1_2]" displayFolder="" count="0" memberValueDatatype="20" unbalanced="0"/>
    <cacheHierarchy uniqueName="[Table1_2].[Type of diet]" caption="Type of diet" attribute="1" defaultMemberUniqueName="[Table1_2].[Type of diet].[All]" allUniqueName="[Table1_2].[Type of diet].[All]" dimensionUniqueName="[Table1_2]" displayFolder="" count="0" memberValueDatatype="130" unbalanced="0"/>
    <cacheHierarchy uniqueName="[Table1_2].[Oily foods consumption]" caption="Oily foods consumption" attribute="1" defaultMemberUniqueName="[Table1_2].[Oily foods consumption].[All]" allUniqueName="[Table1_2].[Oily foods consumption].[All]" dimensionUniqueName="[Table1_2]" displayFolder="" count="0" memberValueDatatype="130" unbalanced="0"/>
    <cacheHierarchy uniqueName="[Table1_2].[fruits and vegetables consumption frequncy]" caption="fruits and vegetables consumption frequncy" attribute="1" defaultMemberUniqueName="[Table1_2].[fruits and vegetables consumption frequncy].[All]" allUniqueName="[Table1_2].[fruits and vegetables consumption frequncy].[All]" dimensionUniqueName="[Table1_2]" displayFolder="" count="0" memberValueDatatype="130" unbalanced="0"/>
    <cacheHierarchy uniqueName="[Table1_2].[Fast food consumption frequency]" caption="Fast food consumption frequency" attribute="1" defaultMemberUniqueName="[Table1_2].[Fast food consumption frequency].[All]" allUniqueName="[Table1_2].[Fast food consumption frequency].[All]" dimensionUniqueName="[Table1_2]" displayFolder="" count="0" memberValueDatatype="130" unbalanced="0"/>
    <cacheHierarchy uniqueName="[Table1_2].[Sugary products consumption]" caption="Sugary products consumption" attribute="1" defaultMemberUniqueName="[Table1_2].[Sugary products consumption].[All]" allUniqueName="[Table1_2].[Sugary products consumption].[All]" dimensionUniqueName="[Table1_2]" displayFolder="" count="0" memberValueDatatype="130" unbalanced="0"/>
    <cacheHierarchy uniqueName="[Table1_2].[Physical activity perform]" caption="Physical activity perform" attribute="1" defaultMemberUniqueName="[Table1_2].[Physical activity perform].[All]" allUniqueName="[Table1_2].[Physical activity perform].[All]" dimensionUniqueName="[Table1_2]" displayFolder="" count="0" memberValueDatatype="130" unbalanced="0"/>
    <cacheHierarchy uniqueName="[Table1_2].[Type of physical activity]" caption="Type of physical activity" attribute="1" defaultMemberUniqueName="[Table1_2].[Type of physical activity].[All]" allUniqueName="[Table1_2].[Type of physical activity].[All]" dimensionUniqueName="[Table1_2]" displayFolder="" count="0" memberValueDatatype="130" unbalanced="0"/>
    <cacheHierarchy uniqueName="[Table1_2].[Physical activity frequency]" caption="Physical activity frequency" attribute="1" defaultMemberUniqueName="[Table1_2].[Physical activity frequency].[All]" allUniqueName="[Table1_2].[Physical activity frequency].[All]" dimensionUniqueName="[Table1_2]" displayFolder="" count="0" memberValueDatatype="130" unbalanced="0"/>
    <cacheHierarchy uniqueName="[Table1_2].[Health issues]" caption="Health issues" attribute="1" defaultMemberUniqueName="[Table1_2].[Health issues].[All]" allUniqueName="[Table1_2].[Health issues].[All]" dimensionUniqueName="[Table1_2]" displayFolder="" count="2" memberValueDatatype="130" unbalanced="0">
      <fieldsUsage count="2">
        <fieldUsage x="-1"/>
        <fieldUsage x="1"/>
      </fieldsUsage>
    </cacheHierarchy>
    <cacheHierarchy uniqueName="[Table1_2].[Sleep duration]" caption="Sleep duration" attribute="1" defaultMemberUniqueName="[Table1_2].[Sleep duration].[All]" allUniqueName="[Table1_2].[Sleep duration].[All]" dimensionUniqueName="[Table1_2]" displayFolder="" count="0" memberValueDatatype="130" unbalanced="0"/>
    <cacheHierarchy uniqueName="[Table1_2].[Drinking water per day]" caption="Drinking water per day" attribute="1" defaultMemberUniqueName="[Table1_2].[Drinking water per day].[All]" allUniqueName="[Table1_2].[Drinking water per day].[All]" dimensionUniqueName="[Table1_2]" displayFolder="" count="0" memberValueDatatype="130" unbalanced="0"/>
    <cacheHierarchy uniqueName="[Table1_2].[Stress reduction practice]" caption="Stress reduction practice" attribute="1" defaultMemberUniqueName="[Table1_2].[Stress reduction practice].[All]" allUniqueName="[Table1_2].[Stress reduction practice].[All]" dimensionUniqueName="[Table1_2]" displayFolder="" count="0" memberValueDatatype="130" unbalanced="0"/>
    <cacheHierarchy uniqueName="[Table1_2].[Medical check-ups frequency]" caption="Medical check-ups frequency" attribute="1" defaultMemberUniqueName="[Table1_2].[Medical check-ups frequency].[All]" allUniqueName="[Table1_2].[Medical check-ups frequency].[All]" dimensionUniqueName="[Table1_2]" displayFolder="" count="2" memberValueDatatype="130" unbalanced="0">
      <fieldsUsage count="2">
        <fieldUsage x="-1"/>
        <fieldUsage x="0"/>
      </fieldsUsage>
    </cacheHierarchy>
    <cacheHierarchy uniqueName="[Table1_2].[BMI]" caption="BMI" attribute="1" defaultMemberUniqueName="[Table1_2].[BMI].[All]" allUniqueName="[Table1_2].[BMI].[All]" dimensionUniqueName="[Table1_2]" displayFolder="" count="0" memberValueDatatype="5" unbalanced="0"/>
    <cacheHierarchy uniqueName="[Table1_2].[BMI_Category]" caption="BMI_Category" attribute="1" defaultMemberUniqueName="[Table1_2].[BMI_Category].[All]" allUniqueName="[Table1_2].[BMI_Category].[All]" dimensionUniqueName="[Table1_2]" displayFolder="" count="2" memberValueDatatype="130" unbalanced="0"/>
    <cacheHierarchy uniqueName="[Table1_2].[Activity_Level]" caption="Activity_Level" attribute="1" defaultMemberUniqueName="[Table1_2].[Activity_Level].[All]" allUniqueName="[Table1_2].[Activity_Level].[All]" dimensionUniqueName="[Table1_2]" displayFolder="" count="0" memberValueDatatype="130" unbalanced="0"/>
    <cacheHierarchy uniqueName="[Measures].[__XL_Count Table1]" caption="__XL_Count Table1" measure="1" displayFolder="" measureGroup="Table1" count="0" hidden="1"/>
    <cacheHierarchy uniqueName="[Measures].[__XL_Count Table1_2]" caption="__XL_Count Table1_2" measure="1" displayFolder="" measureGroup="Table1_2" count="0" hidden="1"/>
    <cacheHierarchy uniqueName="[Measures].[__XL_Count Table1 1]" caption="__XL_Count Table1 1" measure="1" displayFolder="" measureGroup="Table1 1" count="0" hidden="1"/>
    <cacheHierarchy uniqueName="[Measures].[__No measures defined]" caption="__No measures defined" measure="1" displayFolder="" count="0" hidden="1"/>
    <cacheHierarchy uniqueName="[Measures].[Count of BMI_Category]" caption="Count of BMI_Category" measure="1" displayFolder="" measureGroup="Table1_2" count="0" hidden="1">
      <extLst>
        <ext xmlns:x15="http://schemas.microsoft.com/office/spreadsheetml/2010/11/main" uri="{B97F6D7D-B522-45F9-BDA1-12C45D357490}">
          <x15:cacheHierarchy aggregatedColumn="56"/>
        </ext>
      </extLst>
    </cacheHierarchy>
    <cacheHierarchy uniqueName="[Measures].[Sum of BMI]" caption="Sum of BMI" measure="1" displayFolder="" measureGroup="Table1_2" count="0" hidden="1">
      <extLst>
        <ext xmlns:x15="http://schemas.microsoft.com/office/spreadsheetml/2010/11/main" uri="{B97F6D7D-B522-45F9-BDA1-12C45D357490}">
          <x15:cacheHierarchy aggregatedColumn="55"/>
        </ext>
      </extLst>
    </cacheHierarchy>
    <cacheHierarchy uniqueName="[Measures].[Average of BMI]" caption="Average of BMI" measure="1" displayFolder="" measureGroup="Table1_2" count="0" hidden="1">
      <extLst>
        <ext xmlns:x15="http://schemas.microsoft.com/office/spreadsheetml/2010/11/main" uri="{B97F6D7D-B522-45F9-BDA1-12C45D357490}">
          <x15:cacheHierarchy aggregatedColumn="55"/>
        </ext>
      </extLst>
    </cacheHierarchy>
    <cacheHierarchy uniqueName="[Measures].[Count of Physical activity frequency]" caption="Count of Physical activity frequency" measure="1" displayFolder="" measureGroup="Table1_2" count="0" hidden="1">
      <extLst>
        <ext xmlns:x15="http://schemas.microsoft.com/office/spreadsheetml/2010/11/main" uri="{B97F6D7D-B522-45F9-BDA1-12C45D357490}">
          <x15:cacheHierarchy aggregatedColumn="49"/>
        </ext>
      </extLst>
    </cacheHierarchy>
    <cacheHierarchy uniqueName="[Measures].[Count of Health issues]" caption="Count of Health issues" measure="1" displayFolder="" measureGroup="Table1_2" count="0" oneField="1" hidden="1">
      <fieldsUsage count="1">
        <fieldUsage x="2"/>
      </fieldsUsage>
      <extLst>
        <ext xmlns:x15="http://schemas.microsoft.com/office/spreadsheetml/2010/11/main" uri="{B97F6D7D-B522-45F9-BDA1-12C45D357490}">
          <x15:cacheHierarchy aggregatedColumn="50"/>
        </ext>
      </extLst>
    </cacheHierarchy>
  </cacheHierarchies>
  <kpis count="0"/>
  <dimensions count="4">
    <dimension measure="1" name="Measures" uniqueName="[Measures]" caption="Measures"/>
    <dimension name="Table1" uniqueName="[Table1]" caption="Table1"/>
    <dimension name="Table1 1" uniqueName="[Table1 1]" caption="Table1 1"/>
    <dimension name="Table1_2" uniqueName="[Table1_2]" caption="Table1_2"/>
  </dimensions>
  <measureGroups count="3">
    <measureGroup name="Table1" caption="Table1"/>
    <measureGroup name="Table1 1" caption="Table1 1"/>
    <measureGroup name="Table1_2" caption="Table1_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062.49328923611" backgroundQuery="1" createdVersion="3" refreshedVersion="8" minRefreshableVersion="3" recordCount="0" supportSubquery="1" supportAdvancedDrill="1" xr:uid="{75A22FE2-452D-43AE-910E-D46585EED33A}">
  <cacheSource type="external" connectionId="3">
    <extLst>
      <ext xmlns:x14="http://schemas.microsoft.com/office/spreadsheetml/2009/9/main" uri="{F057638F-6D5F-4e77-A914-E7F072B9BCA8}">
        <x14:sourceConnection name="ThisWorkbookDataModel"/>
      </ext>
    </extLst>
  </cacheSource>
  <cacheFields count="0"/>
  <cacheHierarchies count="68">
    <cacheHierarchy uniqueName="[Measures]" caption="Measures" attribute="1" keyAttribute="1" defaultMemberUniqueName="[Measures].[__No measures defined]" dimensionUniqueName="[Measures]" displayFolder="" measures="1" count="1" memberValueDatatype="130" unbalanced="0"/>
    <cacheHierarchy uniqueName="[Table1].[Age Group]" caption="Age Group" attribute="1" defaultMemberUniqueName="[Table1].[Age Group].[All]" allUniqueName="[Table1].[Age Group].[All]" dimensionUniqueName="[Table1]" displayFolder="" count="2" memberValueDatatype="130" unbalanced="0"/>
    <cacheHierarchy uniqueName="[Table1].[Gender]" caption="Gender" attribute="1" defaultMemberUniqueName="[Table1].[Gender].[All]" allUniqueName="[Table1].[Gender].[All]" dimensionUniqueName="[Table1]" displayFolder="" count="2" memberValueDatatype="130" unbalanced="0"/>
    <cacheHierarchy uniqueName="[Table1].[Height(in cm)]" caption="Height(in cm)" attribute="1" defaultMemberUniqueName="[Table1].[Height(in cm)].[All]" allUniqueName="[Table1].[Height(in cm)].[All]" dimensionUniqueName="[Table1]" displayFolder="" count="2" memberValueDatatype="5" unbalanced="0"/>
    <cacheHierarchy uniqueName="[Table1].[Weight(in kg)]" caption="Weight(in kg)" attribute="1" defaultMemberUniqueName="[Table1].[Weight(in kg)].[All]" allUniqueName="[Table1].[Weight(in kg)].[All]" dimensionUniqueName="[Table1]" displayFolder="" count="2" memberValueDatatype="20" unbalanced="0"/>
    <cacheHierarchy uniqueName="[Table1].[Type of diet]" caption="Type of diet" attribute="1" defaultMemberUniqueName="[Table1].[Type of diet].[All]" allUniqueName="[Table1].[Type of diet].[All]" dimensionUniqueName="[Table1]" displayFolder="" count="2" memberValueDatatype="130" unbalanced="0"/>
    <cacheHierarchy uniqueName="[Table1].[Oily foods consumption]" caption="Oily foods consumption" attribute="1" defaultMemberUniqueName="[Table1].[Oily foods consumption].[All]" allUniqueName="[Table1].[Oily foods consumption].[All]" dimensionUniqueName="[Table1]" displayFolder="" count="2" memberValueDatatype="130" unbalanced="0"/>
    <cacheHierarchy uniqueName="[Table1].[fruits and vegetables consumption frequncy]" caption="fruits and vegetables consumption frequncy" attribute="1" defaultMemberUniqueName="[Table1].[fruits and vegetables consumption frequncy].[All]" allUniqueName="[Table1].[fruits and vegetables consumption frequncy].[All]" dimensionUniqueName="[Table1]" displayFolder="" count="2" memberValueDatatype="130" unbalanced="0"/>
    <cacheHierarchy uniqueName="[Table1].[Fast food consumption frequency]" caption="Fast food consumption frequency" attribute="1" defaultMemberUniqueName="[Table1].[Fast food consumption frequency].[All]" allUniqueName="[Table1].[Fast food consumption frequency].[All]" dimensionUniqueName="[Table1]" displayFolder="" count="2" memberValueDatatype="130" unbalanced="0"/>
    <cacheHierarchy uniqueName="[Table1].[Sugary products consumption]" caption="Sugary products consumption" attribute="1" defaultMemberUniqueName="[Table1].[Sugary products consumption].[All]" allUniqueName="[Table1].[Sugary products consumption].[All]" dimensionUniqueName="[Table1]" displayFolder="" count="2" memberValueDatatype="130" unbalanced="0"/>
    <cacheHierarchy uniqueName="[Table1].[Physical activity perform]" caption="Physical activity perform" attribute="1" defaultMemberUniqueName="[Table1].[Physical activity perform].[All]" allUniqueName="[Table1].[Physical activity perform].[All]" dimensionUniqueName="[Table1]" displayFolder="" count="2" memberValueDatatype="130" unbalanced="0"/>
    <cacheHierarchy uniqueName="[Table1].[Type of physical activity]" caption="Type of physical activity" attribute="1" defaultMemberUniqueName="[Table1].[Type of physical activity].[All]" allUniqueName="[Table1].[Type of physical activity].[All]" dimensionUniqueName="[Table1]" displayFolder="" count="2" memberValueDatatype="130" unbalanced="0"/>
    <cacheHierarchy uniqueName="[Table1].[Physical activity frequency]" caption="Physical activity frequency" attribute="1" defaultMemberUniqueName="[Table1].[Physical activity frequency].[All]" allUniqueName="[Table1].[Physical activity frequency].[All]" dimensionUniqueName="[Table1]" displayFolder="" count="2" memberValueDatatype="130" unbalanced="0"/>
    <cacheHierarchy uniqueName="[Table1].[Health issues]" caption="Health issues" attribute="1" defaultMemberUniqueName="[Table1].[Health issues].[All]" allUniqueName="[Table1].[Health issues].[All]" dimensionUniqueName="[Table1]" displayFolder="" count="2" memberValueDatatype="130" unbalanced="0"/>
    <cacheHierarchy uniqueName="[Table1].[Sleep duration]" caption="Sleep duration" attribute="1" defaultMemberUniqueName="[Table1].[Sleep duration].[All]" allUniqueName="[Table1].[Sleep duration].[All]" dimensionUniqueName="[Table1]" displayFolder="" count="2" memberValueDatatype="130" unbalanced="0"/>
    <cacheHierarchy uniqueName="[Table1].[Drinking water per day]" caption="Drinking water per day" attribute="1" defaultMemberUniqueName="[Table1].[Drinking water per day].[All]" allUniqueName="[Table1].[Drinking water per day].[All]" dimensionUniqueName="[Table1]" displayFolder="" count="2" memberValueDatatype="130" unbalanced="0"/>
    <cacheHierarchy uniqueName="[Table1].[Stress reduction practice]" caption="Stress reduction practice" attribute="1" defaultMemberUniqueName="[Table1].[Stress reduction practice].[All]" allUniqueName="[Table1].[Stress reduction practice].[All]" dimensionUniqueName="[Table1]" displayFolder="" count="2" memberValueDatatype="130" unbalanced="0"/>
    <cacheHierarchy uniqueName="[Table1].[Medical check-ups frequency]" caption="Medical check-ups frequency" attribute="1" defaultMemberUniqueName="[Table1].[Medical check-ups frequency].[All]" allUniqueName="[Table1].[Medical check-ups frequency].[All]" dimensionUniqueName="[Table1]" displayFolder="" count="2" memberValueDatatype="130" unbalanced="0"/>
    <cacheHierarchy uniqueName="[Table1].[BMI]" caption="BMI" attribute="1" defaultMemberUniqueName="[Table1].[BMI].[All]" allUniqueName="[Table1].[BMI].[All]" dimensionUniqueName="[Table1]" displayFolder="" count="2" memberValueDatatype="5" unbalanced="0"/>
    <cacheHierarchy uniqueName="[Table1].[BMI_Category]" caption="BMI_Category" attribute="1" defaultMemberUniqueName="[Table1].[BMI_Category].[All]" allUniqueName="[Table1].[BMI_Category].[All]" dimensionUniqueName="[Table1]" displayFolder="" count="2" memberValueDatatype="130" unbalanced="0"/>
    <cacheHierarchy uniqueName="[Table1].[Activity_Level]" caption="Activity_Level" attribute="1" defaultMemberUniqueName="[Table1].[Activity_Level].[All]" allUniqueName="[Table1].[Activity_Level].[All]" dimensionUniqueName="[Table1]" displayFolder="" count="2" memberValueDatatype="130" unbalanced="0"/>
    <cacheHierarchy uniqueName="[Table1 1].[Age Group]" caption="Age Group" attribute="1" defaultMemberUniqueName="[Table1 1].[Age Group].[All]" allUniqueName="[Table1 1].[Age Group].[All]" dimensionUniqueName="[Table1 1]" displayFolder="" count="2" memberValueDatatype="130" unbalanced="0"/>
    <cacheHierarchy uniqueName="[Table1 1].[Gender]" caption="Gender" attribute="1" defaultMemberUniqueName="[Table1 1].[Gender].[All]" allUniqueName="[Table1 1].[Gender].[All]" dimensionUniqueName="[Table1 1]" displayFolder="" count="2" memberValueDatatype="130" unbalanced="0"/>
    <cacheHierarchy uniqueName="[Table1 1].[Height(in cm)]" caption="Height(in cm)" attribute="1" defaultMemberUniqueName="[Table1 1].[Height(in cm)].[All]" allUniqueName="[Table1 1].[Height(in cm)].[All]" dimensionUniqueName="[Table1 1]" displayFolder="" count="2" memberValueDatatype="5" unbalanced="0"/>
    <cacheHierarchy uniqueName="[Table1 1].[Weight(in kg)]" caption="Weight(in kg)" attribute="1" defaultMemberUniqueName="[Table1 1].[Weight(in kg)].[All]" allUniqueName="[Table1 1].[Weight(in kg)].[All]" dimensionUniqueName="[Table1 1]" displayFolder="" count="2" memberValueDatatype="20" unbalanced="0"/>
    <cacheHierarchy uniqueName="[Table1 1].[Type of diet]" caption="Type of diet" attribute="1" defaultMemberUniqueName="[Table1 1].[Type of diet].[All]" allUniqueName="[Table1 1].[Type of diet].[All]" dimensionUniqueName="[Table1 1]" displayFolder="" count="2" memberValueDatatype="130" unbalanced="0"/>
    <cacheHierarchy uniqueName="[Table1 1].[Oily foods consumption]" caption="Oily foods consumption" attribute="1" defaultMemberUniqueName="[Table1 1].[Oily foods consumption].[All]" allUniqueName="[Table1 1].[Oily foods consumption].[All]" dimensionUniqueName="[Table1 1]" displayFolder="" count="2" memberValueDatatype="130" unbalanced="0"/>
    <cacheHierarchy uniqueName="[Table1 1].[fruits and vegetables consumption frequncy]" caption="fruits and vegetables consumption frequncy" attribute="1" defaultMemberUniqueName="[Table1 1].[fruits and vegetables consumption frequncy].[All]" allUniqueName="[Table1 1].[fruits and vegetables consumption frequncy].[All]" dimensionUniqueName="[Table1 1]" displayFolder="" count="2" memberValueDatatype="130" unbalanced="0"/>
    <cacheHierarchy uniqueName="[Table1 1].[Fast food consumption frequency]" caption="Fast food consumption frequency" attribute="1" defaultMemberUniqueName="[Table1 1].[Fast food consumption frequency].[All]" allUniqueName="[Table1 1].[Fast food consumption frequency].[All]" dimensionUniqueName="[Table1 1]" displayFolder="" count="2" memberValueDatatype="130" unbalanced="0"/>
    <cacheHierarchy uniqueName="[Table1 1].[Sugary products consumption]" caption="Sugary products consumption" attribute="1" defaultMemberUniqueName="[Table1 1].[Sugary products consumption].[All]" allUniqueName="[Table1 1].[Sugary products consumption].[All]" dimensionUniqueName="[Table1 1]" displayFolder="" count="2" memberValueDatatype="130" unbalanced="0"/>
    <cacheHierarchy uniqueName="[Table1 1].[Physical activity perform]" caption="Physical activity perform" attribute="1" defaultMemberUniqueName="[Table1 1].[Physical activity perform].[All]" allUniqueName="[Table1 1].[Physical activity perform].[All]" dimensionUniqueName="[Table1 1]" displayFolder="" count="2" memberValueDatatype="130" unbalanced="0"/>
    <cacheHierarchy uniqueName="[Table1 1].[Type of physical activity]" caption="Type of physical activity" attribute="1" defaultMemberUniqueName="[Table1 1].[Type of physical activity].[All]" allUniqueName="[Table1 1].[Type of physical activity].[All]" dimensionUniqueName="[Table1 1]" displayFolder="" count="2" memberValueDatatype="130" unbalanced="0"/>
    <cacheHierarchy uniqueName="[Table1 1].[Physical activity frequency]" caption="Physical activity frequency" attribute="1" defaultMemberUniqueName="[Table1 1].[Physical activity frequency].[All]" allUniqueName="[Table1 1].[Physical activity frequency].[All]" dimensionUniqueName="[Table1 1]" displayFolder="" count="2" memberValueDatatype="130" unbalanced="0"/>
    <cacheHierarchy uniqueName="[Table1 1].[Health issues]" caption="Health issues" attribute="1" defaultMemberUniqueName="[Table1 1].[Health issues].[All]" allUniqueName="[Table1 1].[Health issues].[All]" dimensionUniqueName="[Table1 1]" displayFolder="" count="2" memberValueDatatype="130" unbalanced="0"/>
    <cacheHierarchy uniqueName="[Table1 1].[Sleep duration]" caption="Sleep duration" attribute="1" defaultMemberUniqueName="[Table1 1].[Sleep duration].[All]" allUniqueName="[Table1 1].[Sleep duration].[All]" dimensionUniqueName="[Table1 1]" displayFolder="" count="2" memberValueDatatype="130" unbalanced="0"/>
    <cacheHierarchy uniqueName="[Table1 1].[Drinking water per day]" caption="Drinking water per day" attribute="1" defaultMemberUniqueName="[Table1 1].[Drinking water per day].[All]" allUniqueName="[Table1 1].[Drinking water per day].[All]" dimensionUniqueName="[Table1 1]" displayFolder="" count="2" memberValueDatatype="130" unbalanced="0"/>
    <cacheHierarchy uniqueName="[Table1 1].[Stress reduction practice]" caption="Stress reduction practice" attribute="1" defaultMemberUniqueName="[Table1 1].[Stress reduction practice].[All]" allUniqueName="[Table1 1].[Stress reduction practice].[All]" dimensionUniqueName="[Table1 1]" displayFolder="" count="2" memberValueDatatype="130" unbalanced="0"/>
    <cacheHierarchy uniqueName="[Table1 1].[Medical check-ups frequency]" caption="Medical check-ups frequency" attribute="1" defaultMemberUniqueName="[Table1 1].[Medical check-ups frequency].[All]" allUniqueName="[Table1 1].[Medical check-ups frequency].[All]" dimensionUniqueName="[Table1 1]" displayFolder="" count="2" memberValueDatatype="130" unbalanced="0"/>
    <cacheHierarchy uniqueName="[Table1 1].[BMI]" caption="BMI" attribute="1" defaultMemberUniqueName="[Table1 1].[BMI].[All]" allUniqueName="[Table1 1].[BMI].[All]" dimensionUniqueName="[Table1 1]" displayFolder="" count="2" memberValueDatatype="5" unbalanced="0"/>
    <cacheHierarchy uniqueName="[Table1_2].[Age Group]" caption="Age Group" attribute="1" defaultMemberUniqueName="[Table1_2].[Age Group].[All]" allUniqueName="[Table1_2].[Age Group].[All]" dimensionUniqueName="[Table1_2]" displayFolder="" count="2" memberValueDatatype="130" unbalanced="0"/>
    <cacheHierarchy uniqueName="[Table1_2].[Gender]" caption="Gender" attribute="1" defaultMemberUniqueName="[Table1_2].[Gender].[All]" allUniqueName="[Table1_2].[Gender].[All]" dimensionUniqueName="[Table1_2]" displayFolder="" count="2" memberValueDatatype="130" unbalanced="0"/>
    <cacheHierarchy uniqueName="[Table1_2].[Height(in cm)]" caption="Height(in cm)" attribute="1" defaultMemberUniqueName="[Table1_2].[Height(in cm)].[All]" allUniqueName="[Table1_2].[Height(in cm)].[All]" dimensionUniqueName="[Table1_2]" displayFolder="" count="2" memberValueDatatype="5" unbalanced="0"/>
    <cacheHierarchy uniqueName="[Table1_2].[Weight(in kg)]" caption="Weight(in kg)" attribute="1" defaultMemberUniqueName="[Table1_2].[Weight(in kg)].[All]" allUniqueName="[Table1_2].[Weight(in kg)].[All]" dimensionUniqueName="[Table1_2]" displayFolder="" count="2" memberValueDatatype="20" unbalanced="0"/>
    <cacheHierarchy uniqueName="[Table1_2].[Type of diet]" caption="Type of diet" attribute="1" defaultMemberUniqueName="[Table1_2].[Type of diet].[All]" allUniqueName="[Table1_2].[Type of diet].[All]" dimensionUniqueName="[Table1_2]" displayFolder="" count="2" memberValueDatatype="130" unbalanced="0"/>
    <cacheHierarchy uniqueName="[Table1_2].[Oily foods consumption]" caption="Oily foods consumption" attribute="1" defaultMemberUniqueName="[Table1_2].[Oily foods consumption].[All]" allUniqueName="[Table1_2].[Oily foods consumption].[All]" dimensionUniqueName="[Table1_2]" displayFolder="" count="2" memberValueDatatype="130" unbalanced="0"/>
    <cacheHierarchy uniqueName="[Table1_2].[fruits and vegetables consumption frequncy]" caption="fruits and vegetables consumption frequncy" attribute="1" defaultMemberUniqueName="[Table1_2].[fruits and vegetables consumption frequncy].[All]" allUniqueName="[Table1_2].[fruits and vegetables consumption frequncy].[All]" dimensionUniqueName="[Table1_2]" displayFolder="" count="2" memberValueDatatype="130" unbalanced="0"/>
    <cacheHierarchy uniqueName="[Table1_2].[Fast food consumption frequency]" caption="Fast food consumption frequency" attribute="1" defaultMemberUniqueName="[Table1_2].[Fast food consumption frequency].[All]" allUniqueName="[Table1_2].[Fast food consumption frequency].[All]" dimensionUniqueName="[Table1_2]" displayFolder="" count="2" memberValueDatatype="130" unbalanced="0"/>
    <cacheHierarchy uniqueName="[Table1_2].[Sugary products consumption]" caption="Sugary products consumption" attribute="1" defaultMemberUniqueName="[Table1_2].[Sugary products consumption].[All]" allUniqueName="[Table1_2].[Sugary products consumption].[All]" dimensionUniqueName="[Table1_2]" displayFolder="" count="2" memberValueDatatype="130" unbalanced="0"/>
    <cacheHierarchy uniqueName="[Table1_2].[Physical activity perform]" caption="Physical activity perform" attribute="1" defaultMemberUniqueName="[Table1_2].[Physical activity perform].[All]" allUniqueName="[Table1_2].[Physical activity perform].[All]" dimensionUniqueName="[Table1_2]" displayFolder="" count="2" memberValueDatatype="130" unbalanced="0"/>
    <cacheHierarchy uniqueName="[Table1_2].[Type of physical activity]" caption="Type of physical activity" attribute="1" defaultMemberUniqueName="[Table1_2].[Type of physical activity].[All]" allUniqueName="[Table1_2].[Type of physical activity].[All]" dimensionUniqueName="[Table1_2]" displayFolder="" count="2" memberValueDatatype="130" unbalanced="0"/>
    <cacheHierarchy uniqueName="[Table1_2].[Physical activity frequency]" caption="Physical activity frequency" attribute="1" defaultMemberUniqueName="[Table1_2].[Physical activity frequency].[All]" allUniqueName="[Table1_2].[Physical activity frequency].[All]" dimensionUniqueName="[Table1_2]" displayFolder="" count="2" memberValueDatatype="130" unbalanced="0"/>
    <cacheHierarchy uniqueName="[Table1_2].[Health issues]" caption="Health issues" attribute="1" defaultMemberUniqueName="[Table1_2].[Health issues].[All]" allUniqueName="[Table1_2].[Health issues].[All]" dimensionUniqueName="[Table1_2]" displayFolder="" count="2" memberValueDatatype="130" unbalanced="0"/>
    <cacheHierarchy uniqueName="[Table1_2].[Sleep duration]" caption="Sleep duration" attribute="1" defaultMemberUniqueName="[Table1_2].[Sleep duration].[All]" allUniqueName="[Table1_2].[Sleep duration].[All]" dimensionUniqueName="[Table1_2]" displayFolder="" count="2" memberValueDatatype="130" unbalanced="0"/>
    <cacheHierarchy uniqueName="[Table1_2].[Drinking water per day]" caption="Drinking water per day" attribute="1" defaultMemberUniqueName="[Table1_2].[Drinking water per day].[All]" allUniqueName="[Table1_2].[Drinking water per day].[All]" dimensionUniqueName="[Table1_2]" displayFolder="" count="2" memberValueDatatype="130" unbalanced="0"/>
    <cacheHierarchy uniqueName="[Table1_2].[Stress reduction practice]" caption="Stress reduction practice" attribute="1" defaultMemberUniqueName="[Table1_2].[Stress reduction practice].[All]" allUniqueName="[Table1_2].[Stress reduction practice].[All]" dimensionUniqueName="[Table1_2]" displayFolder="" count="2" memberValueDatatype="130" unbalanced="0"/>
    <cacheHierarchy uniqueName="[Table1_2].[Medical check-ups frequency]" caption="Medical check-ups frequency" attribute="1" defaultMemberUniqueName="[Table1_2].[Medical check-ups frequency].[All]" allUniqueName="[Table1_2].[Medical check-ups frequency].[All]" dimensionUniqueName="[Table1_2]" displayFolder="" count="2" memberValueDatatype="130" unbalanced="0"/>
    <cacheHierarchy uniqueName="[Table1_2].[BMI]" caption="BMI" attribute="1" defaultMemberUniqueName="[Table1_2].[BMI].[All]" allUniqueName="[Table1_2].[BMI].[All]" dimensionUniqueName="[Table1_2]" displayFolder="" count="2" memberValueDatatype="5" unbalanced="0"/>
    <cacheHierarchy uniqueName="[Table1_2].[BMI_Category]" caption="BMI_Category" attribute="1" defaultMemberUniqueName="[Table1_2].[BMI_Category].[All]" allUniqueName="[Table1_2].[BMI_Category].[All]" dimensionUniqueName="[Table1_2]" displayFolder="" count="2" memberValueDatatype="130" unbalanced="0"/>
    <cacheHierarchy uniqueName="[Table1_2].[Activity_Level]" caption="Activity_Level" attribute="1" defaultMemberUniqueName="[Table1_2].[Activity_Level].[All]" allUniqueName="[Table1_2].[Activity_Level].[All]" dimensionUniqueName="[Table1_2]" displayFolder="" count="2" memberValueDatatype="130" unbalanced="0"/>
    <cacheHierarchy uniqueName="[Measures].[__XL_Count Table1]" caption="__XL_Count Table1" measure="1" displayFolder="" measureGroup="Table1" count="0" hidden="1"/>
    <cacheHierarchy uniqueName="[Measures].[__XL_Count Table1_2]" caption="__XL_Count Table1_2" measure="1" displayFolder="" measureGroup="Table1_2" count="0" hidden="1"/>
    <cacheHierarchy uniqueName="[Measures].[__XL_Count Table1 1]" caption="__XL_Count Table1 1" measure="1" displayFolder="" measureGroup="Table1 1" count="0" hidden="1"/>
    <cacheHierarchy uniqueName="[Measures].[__No measures defined]" caption="__No measures defined" measure="1" displayFolder="" count="0" hidden="1"/>
    <cacheHierarchy uniqueName="[Measures].[Count of BMI_Category]" caption="Count of BMI_Category" measure="1" displayFolder="" measureGroup="Table1_2" count="0" hidden="1">
      <extLst>
        <ext xmlns:x15="http://schemas.microsoft.com/office/spreadsheetml/2010/11/main" uri="{B97F6D7D-B522-45F9-BDA1-12C45D357490}">
          <x15:cacheHierarchy aggregatedColumn="57"/>
        </ext>
      </extLst>
    </cacheHierarchy>
    <cacheHierarchy uniqueName="[Measures].[Sum of BMI]" caption="Sum of BMI" measure="1" displayFolder="" measureGroup="Table1_2" count="0" hidden="1">
      <extLst>
        <ext xmlns:x15="http://schemas.microsoft.com/office/spreadsheetml/2010/11/main" uri="{B97F6D7D-B522-45F9-BDA1-12C45D357490}">
          <x15:cacheHierarchy aggregatedColumn="56"/>
        </ext>
      </extLst>
    </cacheHierarchy>
    <cacheHierarchy uniqueName="[Measures].[Average of BMI]" caption="Average of BMI" measure="1" displayFolder="" measureGroup="Table1_2" count="0" hidden="1">
      <extLst>
        <ext xmlns:x15="http://schemas.microsoft.com/office/spreadsheetml/2010/11/main" uri="{B97F6D7D-B522-45F9-BDA1-12C45D357490}">
          <x15:cacheHierarchy aggregatedColumn="56"/>
        </ext>
      </extLst>
    </cacheHierarchy>
    <cacheHierarchy uniqueName="[Measures].[Count of Physical activity frequency]" caption="Count of Physical activity frequency" measure="1" displayFolder="" measureGroup="Table1_2" count="0" hidden="1">
      <extLst>
        <ext xmlns:x15="http://schemas.microsoft.com/office/spreadsheetml/2010/11/main" uri="{B97F6D7D-B522-45F9-BDA1-12C45D357490}">
          <x15:cacheHierarchy aggregatedColumn="50"/>
        </ext>
      </extLst>
    </cacheHierarchy>
    <cacheHierarchy uniqueName="[Measures].[Count of Health issues]" caption="Count of Health issues" measure="1" displayFolder="" measureGroup="Table1_2" count="0" hidden="1">
      <extLst>
        <ext xmlns:x15="http://schemas.microsoft.com/office/spreadsheetml/2010/11/main" uri="{B97F6D7D-B522-45F9-BDA1-12C45D357490}">
          <x15:cacheHierarchy aggregatedColumn="51"/>
        </ext>
      </extLst>
    </cacheHierarchy>
  </cacheHierarchies>
  <kpis count="0"/>
  <dimensions count="4">
    <dimension measure="1" name="Measures" uniqueName="[Measures]" caption="Measures"/>
    <dimension name="Table1" uniqueName="[Table1]" caption="Table1"/>
    <dimension name="Table1 1" uniqueName="[Table1 1]" caption="Table1 1"/>
    <dimension name="Table1_2" uniqueName="[Table1_2]" caption="Table1_2"/>
  </dimensions>
  <measureGroups count="3">
    <measureGroup name="Table1" caption="Table1"/>
    <measureGroup name="Table1 1" caption="Table1 1"/>
    <measureGroup name="Table1_2" caption="Table1_2"/>
  </measureGroups>
  <maps count="3">
    <map measureGroup="0" dimension="1"/>
    <map measureGroup="1" dimension="2"/>
    <map measureGroup="2" dimension="3"/>
  </maps>
  <extLst>
    <ext xmlns:x14="http://schemas.microsoft.com/office/spreadsheetml/2009/9/main" uri="{725AE2AE-9491-48be-B2B4-4EB974FC3084}">
      <x14:pivotCacheDefinition slicerData="1" pivotCacheId="1037320363"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
  <r>
    <s v="18-24"/>
    <s v="Male"/>
    <n v="178"/>
    <n v="60"/>
    <s v="Vegetarian"/>
    <s v="Rarely"/>
    <s v="4-6 times per week"/>
    <s v="2-3 times a week"/>
    <x v="0"/>
    <s v="Yes"/>
    <s v="Walking/Jogging"/>
    <s v="5-6 days"/>
    <x v="0"/>
    <s v="7-8 hours"/>
    <s v="More than 3 liters"/>
    <s v="Meditation"/>
    <s v="Only when sick"/>
    <n v="18.9370029"/>
    <s v="Normal"/>
    <s v="High"/>
  </r>
  <r>
    <s v="18-24"/>
    <s v="Male"/>
    <n v="176"/>
    <n v="60"/>
    <s v="Vegetarian"/>
    <s v="Sometimes"/>
    <s v="1-3 times per week"/>
    <s v="2-3 times a week"/>
    <x v="1"/>
    <s v="Yes"/>
    <s v="Walking/Jogging, Gym workouts"/>
    <s v="1-2 days"/>
    <x v="0"/>
    <s v="7-8 hours"/>
    <s v="More than 3 liters"/>
    <s v="Yoga, Deep Breathing"/>
    <s v="Only when sick"/>
    <n v="19.369834709999999"/>
    <s v="Normal"/>
    <s v="Low"/>
  </r>
  <r>
    <s v="18-24"/>
    <s v="Male"/>
    <n v="156"/>
    <n v="40"/>
    <s v="Vegetarian"/>
    <s v="Rarely"/>
    <s v="4-6 times per week"/>
    <s v="5-6 times a week"/>
    <x v="2"/>
    <s v="No"/>
    <s v="None"/>
    <s v="Never"/>
    <x v="1"/>
    <s v="More than 8"/>
    <s v="More than 3 liters"/>
    <s v="None of the above"/>
    <s v="Only when sick"/>
    <n v="16.436554900000001"/>
    <s v="Underweight"/>
    <s v="Low"/>
  </r>
  <r>
    <s v="18-24"/>
    <s v="Female"/>
    <n v="156"/>
    <n v="40"/>
    <s v="Vegetarian"/>
    <s v="Sometimes"/>
    <s v="4-6 times per week"/>
    <s v="5-6 times a week"/>
    <x v="2"/>
    <s v="No"/>
    <s v="None"/>
    <s v="Never"/>
    <x v="2"/>
    <s v="7-8 hours"/>
    <s v="More than 3 liters"/>
    <s v="Deep Breathing"/>
    <s v="Only when sick"/>
    <n v="16.436554900000001"/>
    <s v="Underweight"/>
    <s v="Low"/>
  </r>
  <r>
    <s v="18-24"/>
    <s v="Female"/>
    <n v="165"/>
    <n v="70"/>
    <s v="Vegetarian"/>
    <s v="Often"/>
    <s v="4-6 times per week"/>
    <s v="5-6 times a week"/>
    <x v="2"/>
    <s v="No"/>
    <s v="None"/>
    <s v="Never"/>
    <x v="1"/>
    <s v="7-8 hours"/>
    <s v="More than 3 liters"/>
    <s v="Yoga"/>
    <s v="Only when sick"/>
    <n v="25.71166208"/>
    <s v="Overweight"/>
    <s v="Low"/>
  </r>
  <r>
    <s v="18-24"/>
    <s v="Female"/>
    <n v="165"/>
    <n v="68"/>
    <s v="Vegetarian"/>
    <s v="Often"/>
    <s v="4-6 times per week"/>
    <s v="5-6 times a week"/>
    <x v="2"/>
    <s v="Yes"/>
    <s v="Swimming"/>
    <s v="3-4 days"/>
    <x v="3"/>
    <s v="7-8 hours"/>
    <s v="More than 3 liters"/>
    <s v="Meditation"/>
    <s v="Only when sick"/>
    <n v="24.977043160000001"/>
    <s v="Normal"/>
    <s v="High"/>
  </r>
  <r>
    <s v="18-24"/>
    <s v="Female"/>
    <n v="167"/>
    <n v="57"/>
    <s v="Vegetarian"/>
    <s v="Rarely"/>
    <s v="4-6 times per week"/>
    <s v="Never"/>
    <x v="0"/>
    <s v="Yes"/>
    <s v="Gym workouts"/>
    <s v="Daily"/>
    <x v="4"/>
    <s v="More than 8"/>
    <s v="More than 3 liters"/>
    <s v="Meditation"/>
    <s v="Only when sick"/>
    <n v="20.43816558"/>
    <s v="Normal"/>
    <s v="High"/>
  </r>
  <r>
    <s v="18-24"/>
    <s v="Male"/>
    <n v="170"/>
    <n v="55"/>
    <s v="Vegetarian"/>
    <s v="Rarely"/>
    <s v="4-6 times per week"/>
    <s v="1 times a week"/>
    <x v="0"/>
    <s v="Yes"/>
    <s v="Gym workouts"/>
    <s v="Daily"/>
    <x v="0"/>
    <s v="More than 8"/>
    <s v="More than 3 liters"/>
    <s v="Meditation"/>
    <s v="Only when sick"/>
    <n v="19.031141869999999"/>
    <s v="Normal"/>
    <s v="High"/>
  </r>
  <r>
    <s v="18-24"/>
    <s v="Male"/>
    <n v="175"/>
    <n v="67"/>
    <s v="Vegetarian"/>
    <s v="Rarely"/>
    <s v="4-6 times per week"/>
    <s v="1 times a week"/>
    <x v="0"/>
    <s v="Yes"/>
    <s v="Gym workouts"/>
    <s v="Daily"/>
    <x v="0"/>
    <s v="7-8 hours"/>
    <s v="More than 3 liters"/>
    <s v="Meditation"/>
    <s v="Only when sick"/>
    <n v="21.877551019999999"/>
    <s v="Normal"/>
    <s v="High"/>
  </r>
  <r>
    <s v="18-24"/>
    <s v="Male"/>
    <n v="167"/>
    <n v="70"/>
    <s v="Non-vegetarian"/>
    <s v="Rarely"/>
    <s v="1-3 times per week"/>
    <s v="1 times a week"/>
    <x v="0"/>
    <s v="Yes"/>
    <s v="Walking/Jogging, Gym workouts"/>
    <s v="5-6 days"/>
    <x v="0"/>
    <s v="7-8 hours"/>
    <s v="2-3 liters"/>
    <s v="Meditation"/>
    <s v="Only when sick"/>
    <n v="25.0995016"/>
    <s v="Overweight"/>
    <s v="High"/>
  </r>
  <r>
    <s v="18-24"/>
    <s v="Male"/>
    <n v="176"/>
    <n v="88"/>
    <s v="Non-vegetarian"/>
    <s v="Sometimes"/>
    <s v="Daily"/>
    <s v="1 times a week"/>
    <x v="3"/>
    <s v="Yes"/>
    <s v="Walking/Jogging, Gym workouts"/>
    <s v="Daily"/>
    <x v="0"/>
    <s v="7-8 hours"/>
    <s v="More than 3 liters"/>
    <s v="None of the above"/>
    <s v="Only when sick"/>
    <n v="28.40909091"/>
    <s v="Overweight"/>
    <s v="High"/>
  </r>
  <r>
    <s v="18-24"/>
    <s v="Male"/>
    <n v="165"/>
    <n v="65"/>
    <s v="Non-vegetarian"/>
    <s v="Sometimes"/>
    <s v="Daily"/>
    <s v="2-3 times a week"/>
    <x v="4"/>
    <s v="Yes"/>
    <s v="Gym workouts"/>
    <s v="Daily"/>
    <x v="5"/>
    <s v="5-6 hours"/>
    <s v="Less than 1 liter"/>
    <s v="Meditation, Deep Breathing"/>
    <s v="Only when sick"/>
    <n v="23.875114780000001"/>
    <s v="Normal"/>
    <s v="High"/>
  </r>
  <r>
    <s v="18-24"/>
    <s v="Male"/>
    <n v="180"/>
    <n v="90"/>
    <s v="Non-vegetarian"/>
    <s v="Sometimes"/>
    <s v="4-6 times per week"/>
    <s v="1 times a week"/>
    <x v="5"/>
    <s v="Yes"/>
    <s v="Walking/Jogging"/>
    <s v="3-4 days"/>
    <x v="0"/>
    <s v="7-8 hours"/>
    <s v="2-3 liters"/>
    <s v="None of the above"/>
    <s v="Only when sick"/>
    <n v="27.777777780000001"/>
    <s v="Overweight"/>
    <s v="High"/>
  </r>
  <r>
    <s v="18-24"/>
    <s v="Male"/>
    <n v="170"/>
    <n v="56"/>
    <s v="Non-vegetarian"/>
    <s v="Rarely"/>
    <s v="4-6 times per week"/>
    <s v="2-3 times a week"/>
    <x v="0"/>
    <s v="No"/>
    <s v="None"/>
    <s v="Never"/>
    <x v="2"/>
    <s v="7-8 hours"/>
    <s v="2-3 liters"/>
    <s v="Deep Breathing"/>
    <s v="Only when sick"/>
    <n v="19.377162630000001"/>
    <s v="Normal"/>
    <s v="Low"/>
  </r>
  <r>
    <s v="18-24"/>
    <s v="Male"/>
    <n v="184"/>
    <n v="61"/>
    <s v="Non-vegetarian"/>
    <s v="Often"/>
    <s v="4-6 times per week"/>
    <s v="2-3 times a week"/>
    <x v="6"/>
    <s v="Yes"/>
    <s v="Sports"/>
    <s v="1-2 days"/>
    <x v="6"/>
    <s v="5-6 hours"/>
    <s v="More than 3 liters"/>
    <s v="None of the above"/>
    <s v="Only when sick"/>
    <n v="18.017485820000001"/>
    <s v="Underweight"/>
    <s v="Low"/>
  </r>
  <r>
    <s v="18-24"/>
    <s v="Male"/>
    <n v="164"/>
    <n v="68"/>
    <s v="Non-vegetarian"/>
    <s v="Rarely"/>
    <s v="4-6 times per week"/>
    <s v="2-3 times a week"/>
    <x v="0"/>
    <s v="Yes"/>
    <s v="Gym workouts"/>
    <s v="Daily"/>
    <x v="0"/>
    <s v="7-8 hours"/>
    <s v="More than 3 liters"/>
    <s v="Deep Breathing"/>
    <s v="Only when sick"/>
    <n v="25.282569899999999"/>
    <s v="Overweight"/>
    <s v="High"/>
  </r>
  <r>
    <s v="18-24"/>
    <s v="Male"/>
    <n v="171"/>
    <n v="65"/>
    <s v="Non-vegetarian"/>
    <s v="Rarely"/>
    <s v="4-6 times per week"/>
    <s v="2-3 times a week"/>
    <x v="7"/>
    <s v="Yes"/>
    <s v="Gym workouts"/>
    <s v="Daily"/>
    <x v="0"/>
    <s v="More than 8"/>
    <s v="More than 3 liters"/>
    <s v="Yoga"/>
    <s v="Only when sick"/>
    <n v="22.038567489999998"/>
    <s v="Normal"/>
    <s v="High"/>
  </r>
  <r>
    <s v="18-24"/>
    <s v="Male"/>
    <n v="175"/>
    <n v="75"/>
    <s v="Non-vegetarian"/>
    <s v="Never"/>
    <s v="4-6 times per week"/>
    <s v="Never"/>
    <x v="1"/>
    <s v="Yes"/>
    <s v="Gym workouts"/>
    <s v="Daily"/>
    <x v="0"/>
    <s v="More than 8"/>
    <s v="More than 3 liters"/>
    <s v="Meditation"/>
    <s v="Only when sick"/>
    <n v="20.761245670000001"/>
    <s v="Normal"/>
    <s v="High"/>
  </r>
  <r>
    <s v="18-24"/>
    <s v="Male"/>
    <n v="176"/>
    <n v="56"/>
    <s v="Non-vegetarian"/>
    <s v="Rarely"/>
    <s v="4-6 times per week"/>
    <s v="1 times a month"/>
    <x v="0"/>
    <s v="Yes"/>
    <s v="Gym workouts"/>
    <s v="Daily"/>
    <x v="7"/>
    <s v="5-6 hours"/>
    <s v="More than 3 liters"/>
    <s v="Meditation"/>
    <s v="Only when sick"/>
    <n v="20.569329660000001"/>
    <s v="Normal"/>
    <s v="High"/>
  </r>
  <r>
    <s v="18-24"/>
    <s v="Female"/>
    <n v="165"/>
    <n v="56"/>
    <s v="Non-vegetarian"/>
    <s v="Often"/>
    <s v="4-6 times per week"/>
    <s v="1 times a month"/>
    <x v="0"/>
    <s v="Yes"/>
    <s v="Sports"/>
    <s v="3-4 days"/>
    <x v="1"/>
    <s v="7-8 hours"/>
    <s v="More than 3 liters"/>
    <s v="Deep Breathing"/>
    <s v="Only when sick"/>
    <n v="20.569329660000001"/>
    <s v="Normal"/>
    <s v="High"/>
  </r>
  <r>
    <s v="18-24"/>
    <s v="Male"/>
    <n v="168"/>
    <n v="60"/>
    <s v="Non-vegetarian"/>
    <s v="Never"/>
    <s v="4-6 times per week"/>
    <s v="Never"/>
    <x v="0"/>
    <s v="Yes"/>
    <s v="Gym workouts"/>
    <s v="Daily"/>
    <x v="0"/>
    <s v="More than 8"/>
    <s v="More than 3 liters"/>
    <s v="Meditation"/>
    <s v="Only when sick"/>
    <n v="24.933720489999999"/>
    <s v="Normal"/>
    <s v="High"/>
  </r>
  <r>
    <s v="18-24"/>
    <s v="Male"/>
    <n v="178"/>
    <n v="79"/>
    <s v="Non-vegetarian"/>
    <s v="Rarely"/>
    <s v="4-6 times per week"/>
    <s v="1 times a month"/>
    <x v="0"/>
    <s v="Yes"/>
    <s v="Gym workouts"/>
    <s v="Daily"/>
    <x v="2"/>
    <s v="More than 8"/>
    <s v="More than 3 liters"/>
    <s v="Meditation"/>
    <s v="Only when sick"/>
    <n v="29.74419988"/>
    <s v="Overweight"/>
    <s v="High"/>
  </r>
  <r>
    <s v="18-24"/>
    <s v="Male"/>
    <n v="161"/>
    <n v="57"/>
    <s v="Non-vegetarian"/>
    <s v="Rarely"/>
    <s v="4-6 times per week"/>
    <s v="1 time a week"/>
    <x v="1"/>
    <s v="Yes"/>
    <s v="Walking/Jogging,Gym workouts"/>
    <s v="Daily"/>
    <x v="0"/>
    <s v="More than 8"/>
    <s v="2-3 liters"/>
    <s v="Meditation, Deep Breathing"/>
    <s v="Only when sick"/>
    <n v="34.4752504"/>
    <s v="obese"/>
    <s v="High"/>
  </r>
  <r>
    <s v="18-24"/>
    <s v="Male"/>
    <n v="161"/>
    <n v="68"/>
    <s v="Vegetarian"/>
    <s v="Sometimes"/>
    <s v="1-3 times per week"/>
    <s v="1 time a week"/>
    <x v="8"/>
    <s v="Yes"/>
    <s v="None, Swimming"/>
    <s v="Gym workouts"/>
    <x v="8"/>
    <s v="5-6 hours"/>
    <s v="More than 3 liters"/>
    <s v="Deep Breathing"/>
    <s v="Only when sick"/>
    <n v="21.926125819999999"/>
    <s v="Normal"/>
    <s v="High"/>
  </r>
  <r>
    <s v="18-24"/>
    <s v="Male"/>
    <n v="166"/>
    <n v="60"/>
    <s v="Non-vegetarian"/>
    <s v="Rarely"/>
    <s v="4-6 times per week"/>
    <s v="1 time a week"/>
    <x v="1"/>
    <s v="Yes"/>
    <s v="Walking/Jogging,Gym workouts"/>
    <s v="Daily"/>
    <x v="0"/>
    <s v="More than 8"/>
    <s v="2-3 liters"/>
    <s v="Meditation, Deep Breathing"/>
    <s v="Only when sick"/>
    <n v="33.386558280000003"/>
    <s v="obese"/>
    <s v="High"/>
  </r>
  <r>
    <s v="18-24"/>
    <s v="Male"/>
    <n v="163"/>
    <n v="68"/>
    <s v="Vegetarian"/>
    <s v="Sometimes"/>
    <s v="1-3 times per week"/>
    <s v="1 time a week"/>
    <x v="8"/>
    <s v="Yes"/>
    <s v="None, Swimming"/>
    <s v="Gym workouts"/>
    <x v="8"/>
    <s v="5-6 hours"/>
    <s v="More than 3 liters"/>
    <s v="Deep Breathing"/>
    <s v="Only when sick"/>
    <n v="23.495236869999999"/>
    <s v="Normal"/>
    <s v="High"/>
  </r>
  <r>
    <s v="25-34"/>
    <s v="Male"/>
    <n v="175"/>
    <n v="72"/>
    <s v="Vegetarian"/>
    <s v="Sometimes"/>
    <s v="1-3 times per week"/>
    <s v="1 times a week"/>
    <x v="6"/>
    <s v="Yes"/>
    <s v="Swimming"/>
    <s v="3-4 days"/>
    <x v="3"/>
    <s v="5-6 hours"/>
    <s v="1-2 liters"/>
    <s v="None of the above"/>
    <s v="Only when sick"/>
    <n v="23.510204080000001"/>
    <s v="Normal"/>
    <s v="High"/>
  </r>
  <r>
    <s v="25-34"/>
    <s v="Male"/>
    <n v="175"/>
    <n v="70"/>
    <s v="Vegetarian"/>
    <s v="Sometimes"/>
    <s v="4-6 times per week"/>
    <s v="5-6 times a week"/>
    <x v="2"/>
    <s v="Rarely"/>
    <s v="Sports"/>
    <s v="3-4 days"/>
    <x v="4"/>
    <s v="7-8 hours"/>
    <s v="2-3 liters"/>
    <s v="Meditation"/>
    <s v="Only when sick"/>
    <n v="22.85714286"/>
    <s v="Normal"/>
    <s v="High"/>
  </r>
  <r>
    <s v="25-34"/>
    <s v="Female"/>
    <n v="167"/>
    <n v="88"/>
    <s v="Vegetarian"/>
    <s v="Often"/>
    <s v="4-6 times per week"/>
    <s v="2-3 times a week"/>
    <x v="0"/>
    <s v="Yes"/>
    <s v="Sports"/>
    <s v="3-4 days"/>
    <x v="7"/>
    <s v="5-6 hours"/>
    <s v="More than 3 liters"/>
    <s v="Deep Breathing"/>
    <s v="Only when sick"/>
    <n v="31.553659150000001"/>
    <s v="obese"/>
    <s v="High"/>
  </r>
  <r>
    <s v="25-34"/>
    <s v="Male"/>
    <n v="165"/>
    <n v="69"/>
    <s v="Non-vegetarian"/>
    <s v="Daily"/>
    <s v="4-6 times per week"/>
    <s v="1 times a week"/>
    <x v="0"/>
    <s v="Yes"/>
    <s v="Walking/Jogging, Gym workouts"/>
    <s v="5-6 days"/>
    <x v="0"/>
    <s v="7-8 hours"/>
    <s v="More than 3 liters"/>
    <s v="Meditation, Deep Breathing"/>
    <s v="Only when sick"/>
    <n v="25.344352619999999"/>
    <s v="Overweight"/>
    <s v="High"/>
  </r>
  <r>
    <s v="25-34"/>
    <s v="Female"/>
    <n v="157"/>
    <n v="45"/>
    <s v="Non-vegetarian"/>
    <s v="Rarely"/>
    <s v="4-6 times per week"/>
    <s v="2-3 times a week"/>
    <x v="1"/>
    <s v="Yes"/>
    <s v="Walking/Jogging"/>
    <s v="5-6 days"/>
    <x v="0"/>
    <s v="7-8 hours"/>
    <s v="2-3 liters"/>
    <s v="Yoga, Meditation"/>
    <s v="Only when sick"/>
    <n v="18.256318709999999"/>
    <s v="Underweight"/>
    <s v="High"/>
  </r>
  <r>
    <s v="25-34"/>
    <s v="Female"/>
    <n v="165"/>
    <n v="56"/>
    <s v="Non-vegetarian"/>
    <s v="Sometimes"/>
    <s v="Daily"/>
    <s v="5-6 times a week"/>
    <x v="9"/>
    <s v="No"/>
    <s v="None"/>
    <s v="Never"/>
    <x v="7"/>
    <s v="7-8 hours"/>
    <s v="2-3 liters"/>
    <s v="Therapeutic Sound therapy"/>
    <s v="Only when sick"/>
    <n v="20.569329660000001"/>
    <s v="Normal"/>
    <s v="Low"/>
  </r>
  <r>
    <s v="25-34"/>
    <s v="Female"/>
    <n v="170"/>
    <n v="60"/>
    <s v="Non-vegetarian"/>
    <s v="Rarely"/>
    <s v="4-6 times per week"/>
    <s v="2-3 times a week"/>
    <x v="10"/>
    <s v="Rarely"/>
    <s v="Sports"/>
    <s v="3-4 days"/>
    <x v="1"/>
    <s v="7-8 hours"/>
    <s v="More than 3 liters"/>
    <s v="Meditation"/>
    <s v="Only when sick"/>
    <n v="18.078512400000001"/>
    <s v="Underweight"/>
    <s v="High"/>
  </r>
  <r>
    <s v="25-34"/>
    <s v="Male"/>
    <n v="169"/>
    <n v="57"/>
    <s v="Non-vegetarian"/>
    <s v="Rarely"/>
    <s v="4-6 times per week"/>
    <s v="Never"/>
    <x v="0"/>
    <s v="Yes"/>
    <s v="Gym workouts"/>
    <s v="Daily"/>
    <x v="0"/>
    <s v="More than 8"/>
    <s v="More than 3 liters"/>
    <s v="Deep Breathing"/>
    <s v="Only when sick"/>
    <n v="28.734672060000001"/>
    <s v="Overweight"/>
    <s v="High"/>
  </r>
  <r>
    <s v="25-34"/>
    <s v="Male"/>
    <n v="163"/>
    <n v="93"/>
    <s v="Vegetarian"/>
    <s v="Often"/>
    <s v="Never"/>
    <s v="5-6 times a week"/>
    <x v="2"/>
    <s v="No"/>
    <s v="None"/>
    <s v="Never"/>
    <x v="9"/>
    <s v="5-6 hours"/>
    <s v="2-3 liters"/>
    <s v="Deep Breathing"/>
    <s v="Only when sick"/>
    <n v="21.146319909999999"/>
    <s v="Normal"/>
    <s v="Low"/>
  </r>
  <r>
    <s v="25-34"/>
    <s v="Male"/>
    <n v="165"/>
    <n v="72"/>
    <s v="Vegetarian"/>
    <s v="Daily"/>
    <s v="Never"/>
    <s v="5-6 times a week"/>
    <x v="11"/>
    <s v="No"/>
    <s v="None"/>
    <s v="Never"/>
    <x v="7"/>
    <s v="Less than 5 hours"/>
    <s v="2-3 liters"/>
    <s v="None"/>
    <s v="Only when sick"/>
    <n v="25.721032210000001"/>
    <s v="Overweight"/>
    <s v="Low"/>
  </r>
  <r>
    <s v="25-34"/>
    <s v="Male"/>
    <n v="171"/>
    <n v="95"/>
    <s v="Vegetarian"/>
    <s v="Often"/>
    <s v="Never"/>
    <s v="5-6 times a week"/>
    <x v="2"/>
    <s v="No"/>
    <s v="None"/>
    <s v="Never"/>
    <x v="9"/>
    <s v="5-6 hours"/>
    <s v="2-3 liters"/>
    <s v="Deep Breathing"/>
    <s v="Only when sick"/>
    <n v="20.983987599999999"/>
    <s v="Normal"/>
    <s v="Low"/>
  </r>
  <r>
    <s v="25-34"/>
    <s v="Female"/>
    <n v="159"/>
    <n v="59"/>
    <s v="Vegetarian"/>
    <s v="Sometimes"/>
    <s v="Rarely"/>
    <s v="1 time a week"/>
    <x v="1"/>
    <s v="No"/>
    <s v="None"/>
    <s v="Never"/>
    <x v="10"/>
    <s v="5-6 hours"/>
    <s v="Less than 1 liter"/>
    <s v="None"/>
    <s v="Only when sick"/>
    <n v="20.177148519999999"/>
    <s v="Normal"/>
    <s v="Low"/>
  </r>
  <r>
    <s v="25-34"/>
    <s v="Male"/>
    <n v="163"/>
    <n v="91"/>
    <s v="Vegetarian"/>
    <s v="Often"/>
    <s v="Never"/>
    <s v="5-6 times a week"/>
    <x v="2"/>
    <s v="No"/>
    <s v="None"/>
    <s v="Never"/>
    <x v="9"/>
    <s v="5-6 hours"/>
    <s v="2-3 liters"/>
    <s v="Deep Breathing"/>
    <s v="Only when sick"/>
    <n v="21.629648759999998"/>
    <s v="Normal"/>
    <s v="Low"/>
  </r>
  <r>
    <s v="25-34"/>
    <s v="Male"/>
    <n v="167"/>
    <n v="71"/>
    <s v="Vegetarian"/>
    <s v="Daily"/>
    <s v="Never"/>
    <s v="5-6 times a week"/>
    <x v="11"/>
    <s v="No"/>
    <s v="None"/>
    <s v="Never"/>
    <x v="7"/>
    <s v="Less than 5 hours"/>
    <s v="2-3 liters"/>
    <s v="None"/>
    <s v="Only when sick"/>
    <n v="26.986001009999999"/>
    <s v="Overweight"/>
    <s v="Low"/>
  </r>
  <r>
    <s v="35-44"/>
    <s v="Male"/>
    <n v="178"/>
    <n v="85"/>
    <s v="Vegetarian"/>
    <s v="Rarely"/>
    <s v="4-6 times per week"/>
    <s v="Never"/>
    <x v="0"/>
    <s v="Yes"/>
    <s v="Walking/Jogging"/>
    <s v="Daily"/>
    <x v="2"/>
    <s v="7-8 hours"/>
    <s v="More than 3 liters"/>
    <s v="Meditation"/>
    <s v="Only when sick"/>
    <n v="26.827420780000001"/>
    <s v="Overweight"/>
    <s v="High"/>
  </r>
  <r>
    <s v="35-44"/>
    <s v="Male"/>
    <n v="178"/>
    <n v="59"/>
    <s v="Vegetarian"/>
    <s v="Rarely"/>
    <s v="4-6 times per week"/>
    <s v="Never"/>
    <x v="0"/>
    <s v="Yes"/>
    <s v="Gym workouts"/>
    <s v="Daily"/>
    <x v="2"/>
    <s v="7-8 hours"/>
    <s v="More than 3 liters"/>
    <s v="Yoga"/>
    <s v="Only when sick"/>
    <n v="18.621386189999999"/>
    <s v="Normal"/>
    <s v="High"/>
  </r>
  <r>
    <s v="35-44"/>
    <s v="Female"/>
    <n v="167"/>
    <n v="67"/>
    <s v="Vegetarian"/>
    <s v="Rarely"/>
    <s v="4-6 times per week"/>
    <s v="1 times a month"/>
    <x v="0"/>
    <s v="Yes"/>
    <s v="Walking/Jogging"/>
    <s v="Daily"/>
    <x v="2"/>
    <s v="More than 8"/>
    <s v="More than 3 liters"/>
    <s v="Meditation"/>
    <s v="Only when sick"/>
    <n v="24.023808670000001"/>
    <s v="Normal"/>
    <s v="High"/>
  </r>
  <r>
    <s v="35-44"/>
    <s v="Male"/>
    <n v="174"/>
    <n v="92"/>
    <s v="Non-vegetarian"/>
    <s v="Often"/>
    <s v="Rarely"/>
    <s v="5-6 times a week"/>
    <x v="12"/>
    <s v="No"/>
    <s v="None"/>
    <s v="Never"/>
    <x v="11"/>
    <s v="Less than 5 hours"/>
    <s v="2-3 liters"/>
    <s v="None of the above"/>
    <s v="Only when sick"/>
    <n v="30.387105300000002"/>
    <s v="obese"/>
    <s v="Low"/>
  </r>
  <r>
    <s v="35-44"/>
    <s v="Male"/>
    <n v="173"/>
    <n v="75"/>
    <s v="Non-vegetarian"/>
    <s v="Rarely"/>
    <s v="1-3 times per week"/>
    <s v="Never"/>
    <x v="0"/>
    <s v="Yes"/>
    <s v="Walking/Jogging"/>
    <s v="Daily"/>
    <x v="2"/>
    <s v="5-6 hours"/>
    <s v="More than 3 liters"/>
    <s v="Deep Breathing"/>
    <s v="Only when sick"/>
    <n v="25.059307029999999"/>
    <s v="Overweight"/>
    <s v="High"/>
  </r>
  <r>
    <s v="35-44"/>
    <s v="Male"/>
    <n v="178"/>
    <n v="80"/>
    <s v="Non-vegetarian"/>
    <s v="Sometimes"/>
    <s v="4-6 times per week"/>
    <s v="Never"/>
    <x v="0"/>
    <s v="Yes"/>
    <s v="Walking/Jogging"/>
    <s v="Daily"/>
    <x v="2"/>
    <s v="7-8 hours"/>
    <s v="More than 3 liters"/>
    <s v="Deep Breathing"/>
    <s v="Only when sick"/>
    <n v="20.44913742"/>
    <s v="Normal"/>
    <s v="High"/>
  </r>
  <r>
    <s v="35-44"/>
    <s v="Male"/>
    <n v="179"/>
    <n v="80"/>
    <s v="Non-vegetarian"/>
    <s v="Never"/>
    <s v="4-6 times per week"/>
    <s v="Never"/>
    <x v="0"/>
    <s v="Yes"/>
    <s v="Walking/Jogging"/>
    <s v="Daily"/>
    <x v="2"/>
    <s v="More than 8"/>
    <s v="More than 3 liters"/>
    <s v="Meditation"/>
    <s v="Only when sick"/>
    <n v="27.548209369999999"/>
    <s v="Overweight"/>
    <s v="High"/>
  </r>
  <r>
    <s v="35-44"/>
    <s v="Female"/>
    <n v="165"/>
    <n v="56"/>
    <s v="Non-vegetarian"/>
    <s v="Rarely"/>
    <s v="4-6 times per week"/>
    <s v="1 times a month"/>
    <x v="0"/>
    <s v="Yes"/>
    <s v="Walking/Jogging"/>
    <s v="Daily"/>
    <x v="0"/>
    <s v="More than 8"/>
    <s v="More than 3 liters"/>
    <s v="Yoga"/>
    <s v="Only when sick"/>
    <n v="16.19695497"/>
    <s v="Underweight"/>
    <s v="High"/>
  </r>
  <r>
    <s v="35-44"/>
    <s v="Male"/>
    <n v="173"/>
    <n v="86"/>
    <s v="Non-vegetarian"/>
    <s v="Rarely"/>
    <s v="Daily"/>
    <s v="1 times a month"/>
    <x v="0"/>
    <s v="Yes"/>
    <s v="Swimming"/>
    <s v="Daily"/>
    <x v="2"/>
    <s v="7-8 hours"/>
    <s v="More than 3 liters"/>
    <s v="Meditation"/>
    <s v="Only when sick"/>
    <n v="24.38237298"/>
    <s v="Normal"/>
    <s v="High"/>
  </r>
  <r>
    <s v="35-44"/>
    <s v="Male"/>
    <n v="178"/>
    <n v="89"/>
    <s v="Non-vegetarian"/>
    <s v="Rarely"/>
    <s v="Daily"/>
    <s v="Never"/>
    <x v="0"/>
    <s v="Yes"/>
    <s v="Walking/Jogging"/>
    <s v="Daily"/>
    <x v="2"/>
    <s v="7-8 hours"/>
    <s v="More than 3 liters"/>
    <s v="Meditation"/>
    <s v="Only when sick"/>
    <n v="21.258503399999999"/>
    <s v="Normal"/>
    <s v="High"/>
  </r>
  <r>
    <s v="35-44"/>
    <s v="Female"/>
    <n v="164"/>
    <n v="80"/>
    <s v="Non-vegetarian"/>
    <s v="Daily"/>
    <s v="4-6 times per week"/>
    <s v="5-6 times a week"/>
    <x v="10"/>
    <s v="No"/>
    <s v="None"/>
    <s v="Never"/>
    <x v="4"/>
    <s v="7-8 hours"/>
    <s v="More than 3 liters"/>
    <s v="Meditation"/>
    <s v="Only when sick"/>
    <n v="29.585798820000001"/>
    <s v="Overweight"/>
    <s v="Low"/>
  </r>
  <r>
    <s v="35-44"/>
    <s v="Female"/>
    <n v="156"/>
    <n v="72"/>
    <s v="Non-vegetarian"/>
    <s v="Never"/>
    <s v="4-6 times per week"/>
    <s v="1 times a month"/>
    <x v="0"/>
    <s v="Yes"/>
    <s v="Gym workouts"/>
    <s v="Daily"/>
    <x v="4"/>
    <s v="7-8 hours"/>
    <s v="More than 3 liters"/>
    <s v="Meditation"/>
    <s v="Only when sick"/>
    <n v="19.834710739999998"/>
    <s v="Normal"/>
    <s v="High"/>
  </r>
  <r>
    <s v="35-44"/>
    <s v="Female"/>
    <n v="150"/>
    <n v="92"/>
    <s v="Vegetarian"/>
    <s v="Often"/>
    <s v="1-3 times per week"/>
    <s v="5-6 times a week"/>
    <x v="11"/>
    <s v="Rarely"/>
    <s v="Walking/Jogging"/>
    <s v="1-2 days"/>
    <x v="12"/>
    <s v="Less than 5 hours"/>
    <s v="Less than 1 liter"/>
    <s v="Deep Breathing"/>
    <s v="Only when sick"/>
    <n v="22.546576479999999"/>
    <s v="Normal"/>
    <s v="Low"/>
  </r>
  <r>
    <s v="35-44"/>
    <s v="Female"/>
    <n v="159"/>
    <n v="57"/>
    <s v="Vegetarian"/>
    <s v="Sometimes"/>
    <s v="Rarely"/>
    <s v="1 time a week"/>
    <x v="1"/>
    <s v="No"/>
    <s v="None"/>
    <s v="Never"/>
    <x v="10"/>
    <s v="5-6 hours"/>
    <s v="Less than 1 liter"/>
    <s v="None"/>
    <s v="Only when sick"/>
    <n v="24.444444440000002"/>
    <s v="Normal"/>
    <s v="Low"/>
  </r>
  <r>
    <s v="35-44"/>
    <s v="Male"/>
    <n v="156"/>
    <n v="92"/>
    <s v="Vegetarian"/>
    <s v="Often"/>
    <s v="1-3 times per week"/>
    <s v="5-6 times a week"/>
    <x v="11"/>
    <s v="Rarely"/>
    <s v="Walking/Jogging"/>
    <s v="1-2 days"/>
    <x v="12"/>
    <s v="Less than 5 hours"/>
    <s v="Less than 1 liter"/>
    <s v="Deep Breathing"/>
    <s v="Only when sick"/>
    <n v="23.337684429999999"/>
    <s v="Normal"/>
    <s v="Low"/>
  </r>
  <r>
    <s v="45-54"/>
    <s v="Female"/>
    <n v="158"/>
    <n v="68"/>
    <s v="Vegetarian"/>
    <s v="Rarely"/>
    <s v="1-3 times per week"/>
    <s v="1 times a week"/>
    <x v="1"/>
    <s v="Yes"/>
    <s v="Walking/Jogging"/>
    <s v="5-6 days"/>
    <x v="7"/>
    <s v="5-6 hours"/>
    <s v="2-3 liters"/>
    <s v="Yoga"/>
    <s v="Only when sick"/>
    <n v="27.239224480000001"/>
    <s v="Overweight"/>
    <s v="High"/>
  </r>
  <r>
    <s v="45-54"/>
    <s v="Female"/>
    <n v="167"/>
    <n v="80"/>
    <s v="Vegetarian"/>
    <s v="Rarely"/>
    <s v="4-6 times per week"/>
    <s v="1 times a month"/>
    <x v="0"/>
    <s v="Yes"/>
    <s v="Walking/Jogging"/>
    <s v="Daily"/>
    <x v="0"/>
    <s v="More than 8"/>
    <s v="More than 3 liters"/>
    <s v="Yoga"/>
    <s v="Only when sick"/>
    <n v="28.685144680000001"/>
    <s v="Overweight"/>
    <s v="High"/>
  </r>
  <r>
    <s v="45-54"/>
    <s v="Female"/>
    <n v="164"/>
    <n v="55"/>
    <s v="Non-vegetarian"/>
    <s v="Often"/>
    <s v="4-6 times per week"/>
    <s v="Never"/>
    <x v="0"/>
    <s v="Yes"/>
    <s v="Walking/Jogging"/>
    <s v="Daily"/>
    <x v="1"/>
    <s v="More than 8"/>
    <s v="More than 3 liters"/>
    <s v="Yoga"/>
    <s v="Only when sick"/>
    <n v="22.22906193"/>
    <s v="Normal"/>
    <s v="High"/>
  </r>
  <r>
    <s v="45-54"/>
    <s v="Female"/>
    <n v="175"/>
    <n v="95"/>
    <s v="Non-vegetarian"/>
    <s v="Often"/>
    <s v="4-6 times per week"/>
    <s v="5-6 times a week"/>
    <x v="9"/>
    <s v="Rarely"/>
    <s v="Walking/Jogging"/>
    <s v="3-4 days"/>
    <x v="7"/>
    <s v="7-8 hours"/>
    <s v="More than 3 liters"/>
    <s v="Meditation"/>
    <s v="Only when sick"/>
    <n v="29.700413220000002"/>
    <s v="Overweight"/>
    <s v="High"/>
  </r>
  <r>
    <s v="45-54"/>
    <s v="Male"/>
    <n v="176"/>
    <n v="92"/>
    <s v="Non-vegetarian"/>
    <s v="Never"/>
    <s v="4-6 times per week"/>
    <s v="Never"/>
    <x v="0"/>
    <s v="Yes"/>
    <s v="Walking/Jogging"/>
    <s v="Daily"/>
    <x v="0"/>
    <s v="More than 8"/>
    <s v="More than 3 liters"/>
    <s v="Yoga"/>
    <s v="Only when sick"/>
    <n v="31.221303949999999"/>
    <s v="obese"/>
    <s v="High"/>
  </r>
  <r>
    <s v="45-54"/>
    <s v="Female"/>
    <n v="165"/>
    <n v="85"/>
    <s v="Non-vegetarian"/>
    <s v="Rarely"/>
    <s v="4-6 times per week"/>
    <s v="Never"/>
    <x v="0"/>
    <s v="Yes"/>
    <s v="Walking/Jogging"/>
    <s v="Daily"/>
    <x v="7"/>
    <s v="More than 8"/>
    <s v="More than 3 liters"/>
    <s v="Meditation"/>
    <s v="Only when sick"/>
    <n v="19.95728441"/>
    <s v="Normal"/>
    <s v="High"/>
  </r>
  <r>
    <s v="45-54"/>
    <s v="Female"/>
    <n v="167"/>
    <n v="68"/>
    <s v="Non-vegetarian"/>
    <s v="Rarely"/>
    <s v="Daily"/>
    <s v="5-6 times a week"/>
    <x v="0"/>
    <s v="Yes"/>
    <s v="Walking/Jogging"/>
    <s v="Daily"/>
    <x v="1"/>
    <s v="More than 8"/>
    <s v="More than 3 liters"/>
    <s v="Meditation"/>
    <s v="Only when sick"/>
    <n v="28.089887640000001"/>
    <s v="Overweight"/>
    <s v="High"/>
  </r>
  <r>
    <s v="Above 55"/>
    <s v="Female"/>
    <n v="154"/>
    <n v="34"/>
    <s v="Vegetarian"/>
    <s v="Never"/>
    <s v="1-3 times per week"/>
    <s v="Never"/>
    <x v="1"/>
    <s v="Yes"/>
    <s v="Walking/Jogging"/>
    <s v="Daily"/>
    <x v="7"/>
    <s v="5-6 hours"/>
    <s v="2-3 liters"/>
    <s v="None of the above"/>
    <s v="Only when sick"/>
    <n v="14.33631304"/>
    <s v="Underweight"/>
    <s v="High"/>
  </r>
  <r>
    <s v="Above 55"/>
    <s v="Male"/>
    <n v="178"/>
    <n v="90"/>
    <s v="Vegetarian"/>
    <s v="Never"/>
    <s v="Daily"/>
    <s v="Never"/>
    <x v="0"/>
    <s v="Yes"/>
    <s v="Walking/Jogging"/>
    <s v="Daily"/>
    <x v="7"/>
    <s v="5-6 hours"/>
    <s v="More than 3 liters"/>
    <s v="Meditation"/>
    <s v="Only when sick"/>
    <n v="28.405504359999998"/>
    <s v="Overweight"/>
    <s v="High"/>
  </r>
  <r>
    <s v="Above 55"/>
    <s v="Male"/>
    <n v="168"/>
    <n v="56"/>
    <s v="Non-vegetarian"/>
    <s v="Never"/>
    <s v="4-6 times per week"/>
    <s v="Never"/>
    <x v="0"/>
    <s v="Yes"/>
    <s v="Swimming"/>
    <s v="Daily"/>
    <x v="1"/>
    <s v="7-8 hours"/>
    <s v="More than 3 liters"/>
    <s v="Yoga"/>
    <s v="Only when sick"/>
    <n v="24.489795919999999"/>
    <s v="Normal"/>
    <s v="High"/>
  </r>
  <r>
    <s v="Below 18"/>
    <s v="Male"/>
    <n v="155"/>
    <n v="49"/>
    <s v="Vegetarian"/>
    <s v="Daily"/>
    <s v="Daily"/>
    <s v="5-6 times a week"/>
    <x v="2"/>
    <s v="Rarely"/>
    <s v="Sports"/>
    <s v="5-6 days"/>
    <x v="1"/>
    <s v="More than 8"/>
    <s v="2-3 liters"/>
    <s v="Meditation"/>
    <s v="Only when sick"/>
    <n v="20.39542144"/>
    <s v="Normal"/>
    <s v="High"/>
  </r>
  <r>
    <s v="Below 18"/>
    <s v="Male"/>
    <n v="156"/>
    <n v="58"/>
    <s v="Vegetarian"/>
    <s v="Often"/>
    <s v="Rarely"/>
    <s v="2-3 times a week"/>
    <x v="13"/>
    <s v="Rarely"/>
    <s v="Walking/Jogging"/>
    <s v="1-2 days"/>
    <x v="7"/>
    <s v="Less than 5 hours"/>
    <s v="2-3 liters"/>
    <s v="None of the above"/>
    <s v="Only when sick"/>
    <n v="23.833004599999999"/>
    <s v="Normal"/>
    <s v="Low"/>
  </r>
  <r>
    <s v="Below 18"/>
    <s v="Male"/>
    <n v="156"/>
    <n v="43"/>
    <s v="Vegetarian"/>
    <s v="Daily"/>
    <s v="Daily"/>
    <s v="5-6 times a week"/>
    <x v="0"/>
    <s v="Yes"/>
    <s v="Sports"/>
    <s v="Daily"/>
    <x v="7"/>
    <s v="5-6 hours"/>
    <s v="More than 3 liters"/>
    <s v="Deep Breathing"/>
    <s v="Only when sick"/>
    <n v="17.66929652"/>
    <s v="Underweight"/>
    <s v="High"/>
  </r>
  <r>
    <s v="Below 18"/>
    <s v="Male"/>
    <n v="156"/>
    <n v="42"/>
    <s v="Non-vegetarian"/>
    <s v="Sometimes"/>
    <s v="Rarely"/>
    <s v="2-3 times a week"/>
    <x v="14"/>
    <s v="Rarely"/>
    <s v="Sports"/>
    <s v="1-2 days"/>
    <x v="0"/>
    <s v="7-8 hours"/>
    <s v="More than 3 liters"/>
    <s v="None of the above"/>
    <s v="Only when sick"/>
    <n v="17.258382640000001"/>
    <s v="Underweight"/>
    <s v="Low"/>
  </r>
  <r>
    <s v="Below 18"/>
    <s v="Male"/>
    <n v="147"/>
    <n v="35"/>
    <s v="Non-vegetarian"/>
    <s v="Daily"/>
    <s v="1-3 times per week"/>
    <s v="5-6 times a week"/>
    <x v="10"/>
    <s v="Yes"/>
    <s v="Sports"/>
    <s v="Daily"/>
    <x v="1"/>
    <s v="7-8 hours"/>
    <s v="More than 3 liters"/>
    <s v="Meditation"/>
    <s v="Only when sick"/>
    <n v="31.020408159999999"/>
    <s v="obese"/>
    <s v="High"/>
  </r>
  <r>
    <s v="Below 18"/>
    <s v="Male"/>
    <n v="153"/>
    <n v="53"/>
    <s v="Vegetarian"/>
    <s v="Often"/>
    <s v="Never"/>
    <s v="5-6 times a week"/>
    <x v="15"/>
    <s v="No"/>
    <s v="None"/>
    <s v="Never"/>
    <x v="2"/>
    <s v="7-8 hours"/>
    <s v="More than 3 liters"/>
    <s v="None"/>
    <s v="Only when sick"/>
    <n v="22.92097107"/>
    <s v="Normal"/>
    <s v="Low"/>
  </r>
  <r>
    <s v="Below 18"/>
    <s v="Female"/>
    <n v="154"/>
    <n v="61"/>
    <s v="Non-vegetarian"/>
    <s v="Sometimes"/>
    <s v="1-3 times per week"/>
    <s v="1 time a week"/>
    <x v="0"/>
    <s v="Rarely"/>
    <s v="Other, Sports"/>
    <s v="1-2 days"/>
    <x v="1"/>
    <s v="7-8 hours"/>
    <s v="1-2 liters"/>
    <s v="Deep Breathing"/>
    <s v="Only when sick"/>
    <n v="26.233555800000001"/>
    <s v="Overweight"/>
    <s v="Low"/>
  </r>
  <r>
    <s v="Below 18"/>
    <s v="Male"/>
    <n v="151"/>
    <n v="49"/>
    <s v="Vegetarian"/>
    <s v="Often"/>
    <s v="Never"/>
    <s v="5-6 times a week"/>
    <x v="15"/>
    <s v="No"/>
    <s v="None"/>
    <s v="Never"/>
    <x v="2"/>
    <s v="7-8 hours"/>
    <s v="More than 3 liters"/>
    <s v="None"/>
    <s v="Only when sick"/>
    <n v="21.877551019999999"/>
    <s v="Normal"/>
    <s v="Low"/>
  </r>
  <r>
    <s v="Below 18"/>
    <s v="Male"/>
    <n v="154"/>
    <n v="64"/>
    <s v="Non-vegetarian"/>
    <s v="Sometimes"/>
    <s v="1-3 times per week"/>
    <s v="1 time a week"/>
    <x v="0"/>
    <s v="Rarely"/>
    <s v="Other, Sports"/>
    <s v="1-2 days"/>
    <x v="1"/>
    <s v="7-8 hours"/>
    <s v="1-2 liters"/>
    <s v="Deep Breathing"/>
    <s v="Only when sick"/>
    <n v="25.593737059999999"/>
    <s v="Overweight"/>
    <s v="Low"/>
  </r>
  <r>
    <s v="18-24"/>
    <s v="Male"/>
    <n v="165"/>
    <n v="72"/>
    <s v="Vegetarian"/>
    <s v="Sometimes"/>
    <s v="1-3 times per week"/>
    <s v="5-6 times a week"/>
    <x v="6"/>
    <s v="Rarely"/>
    <s v="Walking/Jogging"/>
    <s v="1-2 days"/>
    <x v="0"/>
    <s v="7-8 hours"/>
    <s v="More than 3 liters"/>
    <s v="None of the above"/>
    <s v="Every 6 months"/>
    <n v="26.446280990000002"/>
    <s v="Overweight"/>
    <s v="Low"/>
  </r>
  <r>
    <s v="18-24"/>
    <s v="Male"/>
    <n v="175"/>
    <n v="75"/>
    <s v="Vegetarian"/>
    <s v="Sometimes"/>
    <s v="1-3 times per week"/>
    <s v="1 times a week"/>
    <x v="16"/>
    <s v="Rarely"/>
    <s v="Sports, Gym workouts"/>
    <s v="3-4 days"/>
    <x v="5"/>
    <s v="7-8 hours"/>
    <s v="1-2 liters"/>
    <s v="Meditation, Deep Breathing"/>
    <s v="Every 6 months"/>
    <n v="24.489795919999999"/>
    <s v="Normal"/>
    <s v="High"/>
  </r>
  <r>
    <s v="18-24"/>
    <s v="Female"/>
    <n v="180"/>
    <n v="62"/>
    <s v="Vegetarian"/>
    <s v="Sometimes"/>
    <s v="1-3 times per week"/>
    <s v="1 times a week"/>
    <x v="6"/>
    <s v="Rarely"/>
    <s v="Walking/Jogging"/>
    <s v="1-2 days"/>
    <x v="7"/>
    <s v="5-6 hours"/>
    <s v="1-2 liters"/>
    <s v="None of the above"/>
    <s v="Every 2-3 years"/>
    <n v="19.135802470000002"/>
    <s v="Normal"/>
    <s v="Low"/>
  </r>
  <r>
    <s v="18-24"/>
    <s v="Male"/>
    <n v="172"/>
    <n v="65"/>
    <s v="Vegetarian"/>
    <s v="Rarely"/>
    <s v="4-6 times per week"/>
    <s v="1 times a month"/>
    <x v="1"/>
    <s v="Yes"/>
    <s v="Walking/Jogging, Sports, Gym workouts"/>
    <s v="5-6 days"/>
    <x v="0"/>
    <s v="7-8 hours"/>
    <s v="More than 3 liters"/>
    <s v="None of the above"/>
    <s v="Once a year"/>
    <n v="21.97133586"/>
    <s v="Normal"/>
    <s v="High"/>
  </r>
  <r>
    <s v="18-24"/>
    <s v="Male"/>
    <n v="176"/>
    <n v="88"/>
    <s v="Non-vegetarian"/>
    <s v="Sometimes"/>
    <s v="Daily"/>
    <s v="1 times a week"/>
    <x v="17"/>
    <s v="Yes"/>
    <s v="Gym workouts"/>
    <s v="5-6 days"/>
    <x v="0"/>
    <s v="7-8 hours"/>
    <s v="More than 3 liters"/>
    <s v="None of the above"/>
    <s v="Once a year"/>
    <n v="28.40909091"/>
    <s v="Overweight"/>
    <s v="High"/>
  </r>
  <r>
    <s v="18-24"/>
    <s v="Male"/>
    <n v="186"/>
    <n v="84"/>
    <s v="Non-vegetarian"/>
    <s v="Sometimes"/>
    <s v="Daily"/>
    <s v="1 times a week"/>
    <x v="18"/>
    <s v="Yes"/>
    <s v="Walking/Jogging, Sports, Swimming, Gym workouts"/>
    <s v="Daily"/>
    <x v="0"/>
    <s v="7-8 hours"/>
    <s v="More than 3 liters"/>
    <s v="None of the above"/>
    <s v="Never"/>
    <n v="24.280263609999999"/>
    <s v="Normal"/>
    <s v="High"/>
  </r>
  <r>
    <s v="18-24"/>
    <s v="Male"/>
    <n v="165"/>
    <n v="86"/>
    <s v="Non-vegetarian"/>
    <s v="Sometimes"/>
    <s v="1-3 times per week"/>
    <s v="5-6 times a week"/>
    <x v="19"/>
    <s v="Yes"/>
    <s v="Walking/Jogging, Gym workouts"/>
    <s v="3-4 days"/>
    <x v="4"/>
    <s v="7-8 hours"/>
    <s v="2-3 liters"/>
    <s v="None of the above"/>
    <s v="Never"/>
    <n v="31.588613410000001"/>
    <s v="obese"/>
    <s v="High"/>
  </r>
  <r>
    <s v="18-24"/>
    <s v="Male"/>
    <n v="167.5"/>
    <n v="63"/>
    <s v="Non-vegetarian"/>
    <s v="Rarely"/>
    <s v="Daily"/>
    <s v="1 times a week"/>
    <x v="7"/>
    <s v="Yes"/>
    <s v="Walking/Jogging, Suryanamaskar"/>
    <s v="5-6 days"/>
    <x v="0"/>
    <s v="7-8 hours"/>
    <s v="1-2 liters"/>
    <s v="None of the above"/>
    <s v="Once a year"/>
    <n v="22.454889730000001"/>
    <s v="Normal"/>
    <s v="High"/>
  </r>
  <r>
    <s v="18-24"/>
    <s v="Female"/>
    <n v="162"/>
    <n v="43"/>
    <s v="Non-vegetarian"/>
    <s v="Sometimes"/>
    <s v="1-3 times per week"/>
    <s v="1 times a week"/>
    <x v="6"/>
    <s v="No"/>
    <s v="Walking/Jogging"/>
    <s v="1-2 days"/>
    <x v="11"/>
    <s v="5-6 hours"/>
    <s v="1-2 liters"/>
    <s v="None of the above"/>
    <s v="Never"/>
    <n v="16.384697450000001"/>
    <s v="Underweight"/>
    <s v="Low"/>
  </r>
  <r>
    <s v="18-24"/>
    <s v="Male"/>
    <n v="180"/>
    <n v="82"/>
    <s v="Non-vegetarian"/>
    <s v="Daily"/>
    <s v="Rarely"/>
    <s v="1 times a month"/>
    <x v="1"/>
    <s v="No"/>
    <s v="None"/>
    <s v="Never"/>
    <x v="0"/>
    <s v="More than 8"/>
    <s v="More than 3 liters"/>
    <s v="None of the above"/>
    <s v="Never"/>
    <n v="25.308641980000001"/>
    <s v="Overweight"/>
    <s v="Low"/>
  </r>
  <r>
    <s v="18-24"/>
    <s v="Male"/>
    <n v="165"/>
    <n v="54"/>
    <s v="Non-vegetarian"/>
    <s v="Daily"/>
    <s v="1-3 times per week"/>
    <s v="2-3 times a week"/>
    <x v="6"/>
    <s v="Yes"/>
    <s v="Walking/Jogging, Sports"/>
    <s v="3-4 days"/>
    <x v="2"/>
    <s v="5-6 hours"/>
    <s v="1-2 liters"/>
    <s v="None of the above"/>
    <s v="Once a year"/>
    <n v="19.834710739999998"/>
    <s v="Normal"/>
    <s v="High"/>
  </r>
  <r>
    <s v="18-24"/>
    <s v="Female"/>
    <n v="168"/>
    <n v="64"/>
    <s v="Non-vegetarian"/>
    <s v="Rarely"/>
    <s v="4-6 times per week"/>
    <s v="1 times a month"/>
    <x v="1"/>
    <s v="Yes"/>
    <s v="Walking/Jogging, Gym workouts"/>
    <s v="5-6 days"/>
    <x v="0"/>
    <s v="7-8 hours"/>
    <s v="2-3 liters"/>
    <s v="Deep Breathing"/>
    <s v="Every 2-3 years"/>
    <n v="22.675736959999998"/>
    <s v="Normal"/>
    <s v="High"/>
  </r>
  <r>
    <s v="18-24"/>
    <s v="Male"/>
    <n v="165"/>
    <n v="54"/>
    <s v="Non-vegetarian"/>
    <s v="Sometimes"/>
    <s v="4-6 times per week"/>
    <s v="1 times a week"/>
    <x v="0"/>
    <s v="Yes"/>
    <s v="Walking/Jogging, Sports"/>
    <s v="3-4 days"/>
    <x v="13"/>
    <s v="5-6 hours"/>
    <s v="1-2 liters"/>
    <s v="None of the above"/>
    <s v="Once a year"/>
    <n v="19.045073339999998"/>
    <s v="Normal"/>
    <s v="High"/>
  </r>
  <r>
    <s v="18-24"/>
    <s v="Male"/>
    <n v="173"/>
    <n v="57"/>
    <s v="Non-vegetarian"/>
    <s v="Daily"/>
    <s v="Daily"/>
    <s v="2-3 times a week"/>
    <x v="6"/>
    <s v="Yes"/>
    <s v="Sports"/>
    <s v="Daily"/>
    <x v="3"/>
    <s v="Less than 5 hours"/>
    <s v="1-2 liters"/>
    <s v="Meditation"/>
    <s v="Once a year"/>
    <n v="22.038567489999998"/>
    <s v="Normal"/>
    <s v="High"/>
  </r>
  <r>
    <s v="18-24"/>
    <s v="Male"/>
    <n v="174"/>
    <n v="54"/>
    <s v="Eggetarian"/>
    <s v="Sometimes"/>
    <s v="1-3 times per week"/>
    <s v="2-3 times a week"/>
    <x v="20"/>
    <s v="Rarely"/>
    <s v="Walking/Jogging"/>
    <s v="3-4 days"/>
    <x v="13"/>
    <s v="5-6 hours"/>
    <s v="1-2 liters"/>
    <s v="None of the above"/>
    <s v="Every 6 months"/>
    <n v="19.377162630000001"/>
    <s v="Normal"/>
    <s v="High"/>
  </r>
  <r>
    <s v="18-24"/>
    <s v="Female"/>
    <n v="170"/>
    <n v="56"/>
    <s v="Eggetarian"/>
    <s v="Sometimes"/>
    <s v="1-3 times per week"/>
    <s v="2-3 times a week"/>
    <x v="21"/>
    <s v="Yes"/>
    <s v="Walking/Jogging, Sports"/>
    <s v="5-6 days"/>
    <x v="4"/>
    <s v="5-6 hours"/>
    <s v="2-3 liters"/>
    <s v="Deep Breathing, Therapeutic Sound therapy"/>
    <s v="Every 6 months"/>
    <n v="17.50561501"/>
    <s v="Underweight"/>
    <s v="High"/>
  </r>
  <r>
    <s v="18-24"/>
    <s v="Female"/>
    <n v="170"/>
    <n v="56"/>
    <s v="Eggetarian"/>
    <s v="Sometimes"/>
    <s v="1-3 times per week"/>
    <s v="2-3 times a week"/>
    <x v="20"/>
    <s v="Yes"/>
    <s v="Walking/Jogging, Sports"/>
    <s v="5-6 days"/>
    <x v="4"/>
    <s v="5-6 hours"/>
    <s v="2-3 liters"/>
    <s v="Meditation, Deep Breathing, Therapeutic Sound therapy"/>
    <s v="Every 6 months"/>
    <n v="22.640864619999999"/>
    <s v="Normal"/>
    <s v="High"/>
  </r>
  <r>
    <s v="18-24"/>
    <s v="Female"/>
    <n v="176"/>
    <n v="71"/>
    <s v="Eggetarian"/>
    <s v="Rarely"/>
    <s v="Rarely"/>
    <s v="Never"/>
    <x v="11"/>
    <s v="Rarely"/>
    <s v="Swimming, Walking/Jogging"/>
    <s v="1-2 days"/>
    <x v="0"/>
    <s v="5-6 hours"/>
    <s v="More than 3 liters"/>
    <s v="Yoga, Meditation"/>
    <s v="Never"/>
    <n v="28.731921490000001"/>
    <s v="Overweight"/>
    <s v="Low"/>
  </r>
  <r>
    <s v="18-24"/>
    <s v="Female"/>
    <n v="166"/>
    <n v="55"/>
    <s v="Vegetarian"/>
    <s v="Sometimes"/>
    <s v="1-3 times per week"/>
    <s v="1 time a week"/>
    <x v="0"/>
    <s v="Rarely"/>
    <s v="Other, Sports"/>
    <s v="1-2 days"/>
    <x v="1"/>
    <s v="7-8 hours"/>
    <s v="2-3 liters"/>
    <s v="Deep Breathing"/>
    <s v="Every 2-3 years"/>
    <n v="14.36339386"/>
    <s v="Underweight"/>
    <s v="Low"/>
  </r>
  <r>
    <s v="18-24"/>
    <s v="Female"/>
    <n v="167"/>
    <n v="57"/>
    <s v="Vegetarian"/>
    <s v="Sometimes"/>
    <s v="1-3 times per week"/>
    <s v="1 time a week"/>
    <x v="0"/>
    <s v="Rarely"/>
    <s v="Other, Sports"/>
    <s v="1-2 days"/>
    <x v="1"/>
    <s v="7-8 hours"/>
    <s v="2-3 liters"/>
    <s v="Deep Breathing"/>
    <s v="Every 2-3 years"/>
    <n v="21.49028551"/>
    <s v="Normal"/>
    <s v="Low"/>
  </r>
  <r>
    <s v="18-24"/>
    <s v="Female"/>
    <n v="175"/>
    <n v="67"/>
    <s v="Eggetarian"/>
    <s v="Rarely"/>
    <s v="Rarely"/>
    <s v="Never"/>
    <x v="11"/>
    <s v="Rarely"/>
    <s v="Swimming, Walking/Jogging"/>
    <s v="1-2 days"/>
    <x v="0"/>
    <s v="5-6 hours"/>
    <s v="More than 3 liters"/>
    <s v="Yoga, Meditation"/>
    <s v="Never"/>
    <n v="28.305995060000001"/>
    <s v="Overweight"/>
    <s v="Low"/>
  </r>
  <r>
    <s v="18-24"/>
    <s v="Male"/>
    <n v="156"/>
    <n v="64"/>
    <s v="Vegetarian"/>
    <s v="Sometimes"/>
    <s v="4-6 times per week"/>
    <s v="1 time a month"/>
    <x v="6"/>
    <s v="Yes"/>
    <s v="Walking/Jogging,Gym workouts"/>
    <s v="Daily"/>
    <x v="0"/>
    <s v="5-6 hours"/>
    <s v="More than 3 liters"/>
    <s v="Meditation"/>
    <s v="Once a year"/>
    <n v="19.95935549"/>
    <s v="Normal"/>
    <s v="High"/>
  </r>
  <r>
    <s v="18-24"/>
    <s v="Female"/>
    <n v="166"/>
    <n v="55"/>
    <s v="Vegetarian"/>
    <s v="Sometimes"/>
    <s v="1-3 times per week"/>
    <s v="1 time a week"/>
    <x v="0"/>
    <s v="Rarely"/>
    <s v="Other, Sports"/>
    <s v="1-2 days"/>
    <x v="1"/>
    <s v="7-8 hours"/>
    <s v="2-3 liters"/>
    <s v="Deep Breathing"/>
    <s v="Every 2-3 years"/>
    <n v="15.059700960000001"/>
    <s v="Underweight"/>
    <s v="Low"/>
  </r>
  <r>
    <s v="25-34"/>
    <s v="Male"/>
    <n v="176"/>
    <n v="79"/>
    <s v="Vegetarian"/>
    <s v="Sometimes"/>
    <s v="4-6 times per week"/>
    <s v="Never"/>
    <x v="0"/>
    <s v="Yes"/>
    <s v="Swimming"/>
    <s v="Daily"/>
    <x v="4"/>
    <s v="5-6 hours"/>
    <s v="More than 3 liters"/>
    <s v="Meditation"/>
    <s v="Every 2-3 years"/>
    <n v="25.503615700000001"/>
    <s v="Overweight"/>
    <s v="High"/>
  </r>
  <r>
    <s v="25-34"/>
    <s v="Female"/>
    <n v="168"/>
    <n v="73"/>
    <s v="Vegetarian"/>
    <s v="Rarely"/>
    <s v="4-6 times per week"/>
    <s v="Never"/>
    <x v="0"/>
    <s v="Yes"/>
    <s v="Walking/Jogging"/>
    <s v="Daily"/>
    <x v="4"/>
    <s v="More than 8"/>
    <s v="More than 3 liters"/>
    <s v="Meditation"/>
    <s v="Every 6 months"/>
    <n v="25.864512470000001"/>
    <s v="Overweight"/>
    <s v="High"/>
  </r>
  <r>
    <s v="25-34"/>
    <s v="Female"/>
    <n v="170"/>
    <n v="80"/>
    <s v="Vegetarian"/>
    <s v="Rarely"/>
    <s v="Daily"/>
    <s v="1 times a week"/>
    <x v="0"/>
    <s v="Yes"/>
    <s v="Gym workouts"/>
    <s v="Daily"/>
    <x v="0"/>
    <s v="More than 8"/>
    <s v="More than 3 liters"/>
    <s v="Therapeutic Sound therapy"/>
    <s v="Once a year"/>
    <n v="27.681660900000001"/>
    <s v="Overweight"/>
    <s v="High"/>
  </r>
  <r>
    <s v="25-34"/>
    <s v="Female"/>
    <n v="165"/>
    <n v="48"/>
    <s v="Non-vegetarian"/>
    <s v="Rarely"/>
    <s v="4-6 times per week"/>
    <s v="2-3 times a week"/>
    <x v="10"/>
    <s v="Yes"/>
    <s v="Gym workouts"/>
    <s v="5-6 days"/>
    <x v="4"/>
    <s v="5-6 hours"/>
    <s v="1-2 liters"/>
    <s v="Yoga"/>
    <s v="Once a year"/>
    <n v="17.630853989999999"/>
    <s v="Underweight"/>
    <s v="High"/>
  </r>
  <r>
    <s v="25-34"/>
    <s v="Male"/>
    <n v="156"/>
    <n v="63"/>
    <s v="Non-vegetarian"/>
    <s v="Sometimes"/>
    <s v="4-6 times per week"/>
    <s v="2-3 times a week"/>
    <x v="0"/>
    <s v="Yes"/>
    <s v="Walking/Jogging"/>
    <s v="Daily"/>
    <x v="7"/>
    <s v="Less than 5 hours"/>
    <s v="2-3 liters"/>
    <s v="Deep Breathing"/>
    <s v="Once a year"/>
    <n v="25.887573960000001"/>
    <s v="Overweight"/>
    <s v="High"/>
  </r>
  <r>
    <s v="25-34"/>
    <s v="Female"/>
    <n v="162"/>
    <n v="53"/>
    <s v="Eggetarian"/>
    <s v="Rarely"/>
    <s v="Daily"/>
    <s v="1 times a week"/>
    <x v="22"/>
    <s v="Yes"/>
    <s v="Walking/Jogging, Swimming"/>
    <s v="3-4 days"/>
    <x v="1"/>
    <s v="7-8 hours"/>
    <s v="2-3 liters"/>
    <s v="Yoga, Meditation, Deep Breathing, Therapeutic Sound therapy"/>
    <s v="Every 6 months"/>
    <n v="19.377162630000001"/>
    <s v="Normal"/>
    <s v="High"/>
  </r>
  <r>
    <s v="25-34"/>
    <s v="Male"/>
    <n v="172"/>
    <n v="66"/>
    <s v="Non-vegetarian"/>
    <s v="Often"/>
    <s v="4-6 times per week"/>
    <s v="5-6 times a week"/>
    <x v="2"/>
    <s v="Rarely"/>
    <s v="Other, Walking/Jogging"/>
    <s v="1-2 days"/>
    <x v="14"/>
    <s v="Less than 5 hours"/>
    <s v="Less than 1 liter"/>
    <s v="None"/>
    <s v="Every 2-3 years"/>
    <n v="21.98989237"/>
    <s v="Normal"/>
    <s v="Low"/>
  </r>
  <r>
    <s v="25-34"/>
    <s v="Male"/>
    <n v="175"/>
    <n v="69"/>
    <s v="Non-vegetarian"/>
    <s v="Often"/>
    <s v="4-6 times per week"/>
    <s v="5-6 times a week"/>
    <x v="2"/>
    <s v="Rarely"/>
    <s v="Other, Walking/Jogging"/>
    <s v="1-2 days"/>
    <x v="14"/>
    <s v="Less than 5 hours"/>
    <s v="Less than 1 liter"/>
    <s v="None"/>
    <s v="Every 2-3 years"/>
    <n v="21.77384236"/>
    <s v="Normal"/>
    <s v="Low"/>
  </r>
  <r>
    <s v="25-34"/>
    <s v="Female"/>
    <n v="171"/>
    <n v="59"/>
    <s v="Vegetarian"/>
    <s v="Sometimes"/>
    <s v="1-3 times per week"/>
    <s v="1 time a week"/>
    <x v="6"/>
    <s v="Rarely"/>
    <s v="Walking/Jogging"/>
    <s v="1-2 days"/>
    <x v="1"/>
    <s v="7-8 hours"/>
    <s v="1-2 liters"/>
    <s v="Therapeutic Sound therapy"/>
    <s v="Never"/>
    <n v="34.250442239999998"/>
    <s v="obese"/>
    <s v="Low"/>
  </r>
  <r>
    <s v="25-34"/>
    <s v="Female"/>
    <n v="167"/>
    <n v="42"/>
    <s v="Vegetarian"/>
    <s v="Rarely"/>
    <s v="Never"/>
    <s v="1 time a month"/>
    <x v="1"/>
    <s v="Rarely"/>
    <s v="Walking/Jogging"/>
    <s v="1-2 days"/>
    <x v="0"/>
    <s v="7-8 hours"/>
    <s v="More than 3 liters"/>
    <s v="Yoga, Deep Breathing"/>
    <s v="Once a year"/>
    <n v="21.67211013"/>
    <s v="Normal"/>
    <s v="Low"/>
  </r>
  <r>
    <s v="25-34"/>
    <s v="Male"/>
    <n v="181"/>
    <n v="71"/>
    <s v="Vegetarian"/>
    <s v="Rarely"/>
    <s v="1-3 times per week"/>
    <s v="1 time a week"/>
    <x v="23"/>
    <s v="No"/>
    <s v="None"/>
    <s v="Never"/>
    <x v="15"/>
    <s v="7-8 hours"/>
    <s v="2-3 liters"/>
    <s v="Meditation"/>
    <s v="Every 2-3 years"/>
    <n v="25.458065900000001"/>
    <s v="Overweight"/>
    <s v="Low"/>
  </r>
  <r>
    <s v="35-44"/>
    <s v="Male"/>
    <n v="170"/>
    <n v="72"/>
    <s v="Vegetarian"/>
    <s v="Rarely"/>
    <s v="4-6 times per week"/>
    <s v="1 times a month"/>
    <x v="1"/>
    <s v="Yes"/>
    <s v="Walking/Jogging, Gym workouts"/>
    <s v="5-6 days"/>
    <x v="0"/>
    <s v="7-8 hours"/>
    <s v="More than 3 liters"/>
    <s v="Meditation"/>
    <s v="Every 6 months"/>
    <n v="24.91349481"/>
    <s v="Normal"/>
    <s v="High"/>
  </r>
  <r>
    <s v="35-44"/>
    <s v="Male"/>
    <n v="173"/>
    <n v="70"/>
    <s v="Vegetarian"/>
    <s v="Never"/>
    <s v="4-6 times per week"/>
    <s v="1 times a month"/>
    <x v="0"/>
    <s v="Yes"/>
    <s v="Walking/Jogging"/>
    <s v="Daily"/>
    <x v="7"/>
    <s v="7-8 hours"/>
    <s v="More than 3 liters"/>
    <s v="Yoga"/>
    <s v="Once a year"/>
    <n v="23.38868656"/>
    <s v="Normal"/>
    <s v="High"/>
  </r>
  <r>
    <s v="35-44"/>
    <s v="Female"/>
    <n v="165"/>
    <n v="60"/>
    <s v="Non-vegetarian"/>
    <s v="Often"/>
    <s v="4-6 times per week"/>
    <s v="2-3 times a week"/>
    <x v="10"/>
    <s v="Yes"/>
    <s v="Walking/Jogging"/>
    <s v="Daily"/>
    <x v="1"/>
    <s v="7-8 hours"/>
    <s v="More than 3 liters"/>
    <s v="Deep Breathing"/>
    <s v="Every 6 months"/>
    <n v="24.968009739999999"/>
    <s v="Normal"/>
    <s v="High"/>
  </r>
  <r>
    <s v="35-44"/>
    <s v="Male"/>
    <n v="166"/>
    <n v="95"/>
    <s v="Non-vegetarian"/>
    <s v="Daily"/>
    <s v="1-3 times per week"/>
    <s v="5-6 times a week"/>
    <x v="24"/>
    <s v="No"/>
    <s v="None"/>
    <s v="Never"/>
    <x v="16"/>
    <s v="5-6 hours"/>
    <s v="2-3 liters"/>
    <s v="None"/>
    <s v="Every 6 months"/>
    <n v="40.888888889999997"/>
    <s v="obese"/>
    <s v="Low"/>
  </r>
  <r>
    <s v="35-44"/>
    <s v="Female"/>
    <n v="176"/>
    <n v="59"/>
    <s v="Vegetarian"/>
    <s v="Sometimes"/>
    <s v="1-3 times per week"/>
    <s v="1 time a week"/>
    <x v="6"/>
    <s v="Rarely"/>
    <s v="Walking/Jogging"/>
    <s v="1-2 days"/>
    <x v="1"/>
    <s v="7-8 hours"/>
    <s v="1-2 liters"/>
    <s v="Therapeutic Sound therapy"/>
    <s v="Never"/>
    <n v="35.003199219999999"/>
    <s v="obese"/>
    <s v="Low"/>
  </r>
  <r>
    <s v="35-44"/>
    <s v="Male"/>
    <n v="153"/>
    <n v="62"/>
    <s v="Vegetarian"/>
    <s v="Sometimes"/>
    <s v="4-6 times per week"/>
    <s v="1 time a month"/>
    <x v="6"/>
    <s v="Yes"/>
    <s v="Walking/Jogging,Gym workouts"/>
    <s v="Daily"/>
    <x v="0"/>
    <s v="5-6 hours"/>
    <s v="More than 3 liters"/>
    <s v="Meditation"/>
    <s v="Once a year"/>
    <n v="19.95935549"/>
    <s v="Normal"/>
    <s v="High"/>
  </r>
  <r>
    <s v="35-44"/>
    <s v="Female"/>
    <n v="168"/>
    <n v="58"/>
    <s v="Vegetarian"/>
    <s v="Sometimes"/>
    <s v="1-3 times per week"/>
    <s v="1 time a week"/>
    <x v="6"/>
    <s v="Rarely"/>
    <s v="Walking/Jogging"/>
    <s v="1-2 days"/>
    <x v="1"/>
    <s v="7-8 hours"/>
    <s v="1-2 liters"/>
    <s v="Therapeutic Sound therapy"/>
    <s v="Never"/>
    <n v="32.488628980000001"/>
    <s v="obese"/>
    <s v="Low"/>
  </r>
  <r>
    <s v="35-44"/>
    <s v="Male"/>
    <n v="156"/>
    <n v="66"/>
    <s v="Vegetarian"/>
    <s v="Sometimes"/>
    <s v="4-6 times per week"/>
    <s v="1 time a month"/>
    <x v="6"/>
    <s v="Yes"/>
    <s v="Walking/Jogging,Gym workouts"/>
    <s v="Daily"/>
    <x v="0"/>
    <s v="5-6 hours"/>
    <s v="More than 3 liters"/>
    <s v="Meditation"/>
    <s v="Once a year"/>
    <n v="20.43816558"/>
    <s v="Normal"/>
    <s v="High"/>
  </r>
  <r>
    <s v="35-44"/>
    <s v="Male"/>
    <n v="166"/>
    <n v="92"/>
    <s v="Non-vegetarian"/>
    <s v="Daily"/>
    <s v="1-3 times per week"/>
    <s v="5-6 times a week"/>
    <x v="24"/>
    <s v="No"/>
    <s v="None"/>
    <s v="Never"/>
    <x v="16"/>
    <s v="5-6 hours"/>
    <s v="2-3 liters"/>
    <s v="None"/>
    <s v="Every 6 months"/>
    <n v="37.804076270000003"/>
    <s v="obese"/>
    <s v="Low"/>
  </r>
  <r>
    <s v="45-54"/>
    <s v="Male"/>
    <n v="173"/>
    <n v="83"/>
    <s v="Vegetarian"/>
    <s v="Sometimes"/>
    <s v="4-6 times per week"/>
    <s v="Never"/>
    <x v="0"/>
    <s v="Yes"/>
    <s v="Walking/Jogging"/>
    <s v="Daily"/>
    <x v="4"/>
    <s v="More than 8"/>
    <s v="More than 3 liters"/>
    <s v="Deep Breathing"/>
    <s v="Once a year"/>
    <n v="27.732299780000002"/>
    <s v="Overweight"/>
    <s v="High"/>
  </r>
  <r>
    <s v="45-54"/>
    <s v="Male"/>
    <n v="178"/>
    <n v="67"/>
    <s v="Vegetarian"/>
    <s v="Rarely"/>
    <s v="1-3 times per week"/>
    <s v="Never"/>
    <x v="1"/>
    <s v="Yes"/>
    <s v="Swimming, Gym workouts"/>
    <s v="5-6 days"/>
    <x v="0"/>
    <s v="7-8 hours"/>
    <s v="More than 3 liters"/>
    <s v="Deep Breathing, Meditation"/>
    <s v="Never"/>
    <n v="26.485539750000001"/>
    <s v="Overweight"/>
    <s v="High"/>
  </r>
  <r>
    <s v="45-54"/>
    <s v="Female"/>
    <n v="171"/>
    <n v="42"/>
    <s v="Vegetarian"/>
    <s v="Rarely"/>
    <s v="Never"/>
    <s v="1 time a month"/>
    <x v="1"/>
    <s v="Rarely"/>
    <s v="Walking/Jogging"/>
    <s v="1-2 days"/>
    <x v="0"/>
    <s v="7-8 hours"/>
    <s v="More than 3 liters"/>
    <s v="Yoga, Deep Breathing"/>
    <s v="Once a year"/>
    <n v="20.745069390000001"/>
    <s v="Normal"/>
    <s v="Low"/>
  </r>
  <r>
    <s v="45-54"/>
    <s v="Male"/>
    <n v="185"/>
    <n v="71"/>
    <s v="Vegetarian"/>
    <s v="Rarely"/>
    <s v="1-3 times per week"/>
    <s v="1 time a week"/>
    <x v="23"/>
    <s v="No"/>
    <s v="None"/>
    <s v="Never"/>
    <x v="15"/>
    <s v="7-8 hours"/>
    <s v="2-3 liters"/>
    <s v="Meditation"/>
    <s v="Every 2-3 years"/>
    <n v="26.446280990000002"/>
    <s v="Overweight"/>
    <s v="Low"/>
  </r>
  <r>
    <s v="45-54"/>
    <s v="Male"/>
    <n v="176"/>
    <n v="65"/>
    <s v="Vegetarian"/>
    <s v="Rarely"/>
    <s v="1-3 times per week"/>
    <s v="Never"/>
    <x v="1"/>
    <s v="Yes"/>
    <s v="Swimming, Gym workouts"/>
    <s v="5-6 days"/>
    <x v="0"/>
    <s v="7-8 hours"/>
    <s v="More than 3 liters"/>
    <s v="Deep Breathing, Meditation"/>
    <s v="Never"/>
    <n v="27.12031558"/>
    <s v="Overweight"/>
    <s v="High"/>
  </r>
  <r>
    <s v="45-54"/>
    <s v="Male"/>
    <n v="176"/>
    <n v="67"/>
    <s v="Vegetarian"/>
    <s v="Rarely"/>
    <s v="1-3 times per week"/>
    <s v="Never"/>
    <x v="1"/>
    <s v="Yes"/>
    <s v="Swimming, Gym workouts"/>
    <s v="5-6 days"/>
    <x v="0"/>
    <s v="7-8 hours"/>
    <s v="More than 3 liters"/>
    <s v="Deep Breathing, Meditation"/>
    <s v="Never"/>
    <n v="26.29848784"/>
    <s v="Overweight"/>
    <s v="High"/>
  </r>
  <r>
    <s v="Above 55"/>
    <s v="Male"/>
    <n v="176"/>
    <n v="89"/>
    <s v="Vegetarian"/>
    <s v="Sometimes"/>
    <s v="1-3 times per week"/>
    <s v="2-3 times a week"/>
    <x v="1"/>
    <s v="Rarely"/>
    <s v="Walking/Jogging"/>
    <s v="1-2 days"/>
    <x v="17"/>
    <s v="5-6 hours"/>
    <s v="2-3 liters"/>
    <s v="Yoga, Deep Breathing"/>
    <s v="Every 6 months"/>
    <n v="22.309356409999999"/>
    <s v="Normal"/>
    <s v="Low"/>
  </r>
  <r>
    <s v="Above 55"/>
    <s v="Male"/>
    <n v="166"/>
    <n v="78"/>
    <s v="Vegetarian"/>
    <s v="Sometimes"/>
    <s v="1-3 times per week"/>
    <s v="2-3 times a week"/>
    <x v="1"/>
    <s v="Rarely"/>
    <s v="Walking/Jogging"/>
    <s v="1-2 days"/>
    <x v="17"/>
    <s v="5-6 hours"/>
    <s v="2-3 liters"/>
    <s v="Yoga, Deep Breathing"/>
    <s v="Every 6 months"/>
    <n v="22.53061224"/>
    <s v="Normal"/>
    <s v="Low"/>
  </r>
  <r>
    <s v="Below 18"/>
    <s v="Male"/>
    <n v="174"/>
    <n v="53"/>
    <s v="Eggetarian"/>
    <s v="Sometimes"/>
    <s v="4-6 times per week"/>
    <s v="1 times a month"/>
    <x v="21"/>
    <s v="Yes"/>
    <s v="Walking/Jogging"/>
    <s v="3-4 days"/>
    <x v="13"/>
    <s v="5-6 hours"/>
    <s v="1-2 liters"/>
    <s v="None of the above"/>
    <s v="Every 6 months"/>
    <n v="20.195092209999999"/>
    <s v="Normal"/>
    <s v="High"/>
  </r>
  <r>
    <s v="Below 18"/>
    <s v="Male"/>
    <n v="150"/>
    <n v="55"/>
    <s v="Non-vegetarian"/>
    <s v="Sometimes"/>
    <s v="1-3 times per week"/>
    <s v="1 time a week"/>
    <x v="11"/>
    <s v="Rarely"/>
    <s v="Sports"/>
    <s v="1-2 days"/>
    <x v="0"/>
    <s v="7-8 hours"/>
    <s v="1-2 liters"/>
    <s v="None"/>
    <s v="Once a year"/>
    <n v="19.047004130000001"/>
    <s v="Normal"/>
    <s v="Low"/>
  </r>
  <r>
    <s v="Below 18"/>
    <s v="Male"/>
    <n v="154"/>
    <n v="52"/>
    <s v="Non-vegetarian"/>
    <s v="Sometimes"/>
    <s v="1-3 times per week"/>
    <s v="1 time a week"/>
    <x v="11"/>
    <s v="Rarely"/>
    <s v="Sports"/>
    <s v="1-2 days"/>
    <x v="0"/>
    <s v="7-8 hours"/>
    <s v="1-2 liters"/>
    <s v="None"/>
    <s v="Once a year"/>
    <n v="20.549886619999999"/>
    <s v="Normal"/>
    <s v="Low"/>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1E6DBF-1044-4787-A2AF-35608D80B7F0}" name="PivotTable3" cacheId="3" applyNumberFormats="0" applyBorderFormats="0" applyFontFormats="0" applyPatternFormats="0" applyAlignmentFormats="0" applyWidthHeightFormats="1" dataCaption="Values" tag="21342cd5-d3a1-41c5-ad88-c17493b0a3aa" updatedVersion="8" minRefreshableVersion="3" useAutoFormatting="1" rowGrandTotals="0" colGrandTotals="0" itemPrintTitles="1" createdVersion="8" indent="0" outline="1" outlineData="1" multipleFieldFilters="0" chartFormat="13">
  <location ref="A11:R17" firstHeaderRow="1" firstDataRow="2" firstDataCol="1"/>
  <pivotFields count="3">
    <pivotField axis="axisRow" allDrilled="1" subtotalTop="0" showAll="0" dataSourceSort="1" defaultSubtotal="0" defaultAttributeDrillState="1">
      <items count="5">
        <item s="1" x="0"/>
        <item s="1" x="1"/>
        <item s="1" x="2"/>
        <item s="1" x="3"/>
        <item s="1" x="4"/>
      </items>
    </pivotField>
    <pivotField axis="axisCol"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s>
  <rowFields count="1">
    <field x="0"/>
  </rowFields>
  <rowItems count="5">
    <i>
      <x/>
    </i>
    <i>
      <x v="1"/>
    </i>
    <i>
      <x v="2"/>
    </i>
    <i>
      <x v="3"/>
    </i>
    <i>
      <x v="4"/>
    </i>
  </rowItems>
  <colFields count="1">
    <field x="1"/>
  </colFields>
  <colItems count="17">
    <i>
      <x/>
    </i>
    <i>
      <x v="1"/>
    </i>
    <i>
      <x v="2"/>
    </i>
    <i>
      <x v="3"/>
    </i>
    <i>
      <x v="4"/>
    </i>
    <i>
      <x v="5"/>
    </i>
    <i>
      <x v="6"/>
    </i>
    <i>
      <x v="7"/>
    </i>
    <i>
      <x v="8"/>
    </i>
    <i>
      <x v="9"/>
    </i>
    <i>
      <x v="10"/>
    </i>
    <i>
      <x v="11"/>
    </i>
    <i>
      <x v="12"/>
    </i>
    <i>
      <x v="13"/>
    </i>
    <i>
      <x v="14"/>
    </i>
    <i>
      <x v="15"/>
    </i>
    <i>
      <x v="16"/>
    </i>
  </colItems>
  <dataFields count="1">
    <dataField name="Count of Health issues" fld="2" subtotal="count" baseField="0" baseItem="0"/>
  </dataFields>
  <chartFormats count="18">
    <chartFormat chart="8" format="34" series="1">
      <pivotArea type="data" outline="0" fieldPosition="0">
        <references count="2">
          <reference field="4294967294" count="1" selected="0">
            <x v="0"/>
          </reference>
          <reference field="1" count="1" selected="0">
            <x v="0"/>
          </reference>
        </references>
      </pivotArea>
    </chartFormat>
    <chartFormat chart="8" format="35" series="1">
      <pivotArea type="data" outline="0" fieldPosition="0">
        <references count="2">
          <reference field="4294967294" count="1" selected="0">
            <x v="0"/>
          </reference>
          <reference field="1" count="1" selected="0">
            <x v="1"/>
          </reference>
        </references>
      </pivotArea>
    </chartFormat>
    <chartFormat chart="8" format="36" series="1">
      <pivotArea type="data" outline="0" fieldPosition="0">
        <references count="2">
          <reference field="4294967294" count="1" selected="0">
            <x v="0"/>
          </reference>
          <reference field="1" count="1" selected="0">
            <x v="2"/>
          </reference>
        </references>
      </pivotArea>
    </chartFormat>
    <chartFormat chart="8" format="37" series="1">
      <pivotArea type="data" outline="0" fieldPosition="0">
        <references count="2">
          <reference field="4294967294" count="1" selected="0">
            <x v="0"/>
          </reference>
          <reference field="1" count="1" selected="0">
            <x v="3"/>
          </reference>
        </references>
      </pivotArea>
    </chartFormat>
    <chartFormat chart="8" format="38" series="1">
      <pivotArea type="data" outline="0" fieldPosition="0">
        <references count="2">
          <reference field="4294967294" count="1" selected="0">
            <x v="0"/>
          </reference>
          <reference field="1" count="1" selected="0">
            <x v="4"/>
          </reference>
        </references>
      </pivotArea>
    </chartFormat>
    <chartFormat chart="8" format="39" series="1">
      <pivotArea type="data" outline="0" fieldPosition="0">
        <references count="2">
          <reference field="4294967294" count="1" selected="0">
            <x v="0"/>
          </reference>
          <reference field="1" count="1" selected="0">
            <x v="5"/>
          </reference>
        </references>
      </pivotArea>
    </chartFormat>
    <chartFormat chart="8" format="40" series="1">
      <pivotArea type="data" outline="0" fieldPosition="0">
        <references count="2">
          <reference field="4294967294" count="1" selected="0">
            <x v="0"/>
          </reference>
          <reference field="1" count="1" selected="0">
            <x v="6"/>
          </reference>
        </references>
      </pivotArea>
    </chartFormat>
    <chartFormat chart="8" format="41" series="1">
      <pivotArea type="data" outline="0" fieldPosition="0">
        <references count="2">
          <reference field="4294967294" count="1" selected="0">
            <x v="0"/>
          </reference>
          <reference field="1" count="1" selected="0">
            <x v="7"/>
          </reference>
        </references>
      </pivotArea>
    </chartFormat>
    <chartFormat chart="8" format="42" series="1">
      <pivotArea type="data" outline="0" fieldPosition="0">
        <references count="2">
          <reference field="4294967294" count="1" selected="0">
            <x v="0"/>
          </reference>
          <reference field="1" count="1" selected="0">
            <x v="8"/>
          </reference>
        </references>
      </pivotArea>
    </chartFormat>
    <chartFormat chart="8" format="43" series="1">
      <pivotArea type="data" outline="0" fieldPosition="0">
        <references count="2">
          <reference field="4294967294" count="1" selected="0">
            <x v="0"/>
          </reference>
          <reference field="1" count="1" selected="0">
            <x v="9"/>
          </reference>
        </references>
      </pivotArea>
    </chartFormat>
    <chartFormat chart="8" format="44" series="1">
      <pivotArea type="data" outline="0" fieldPosition="0">
        <references count="2">
          <reference field="4294967294" count="1" selected="0">
            <x v="0"/>
          </reference>
          <reference field="1" count="1" selected="0">
            <x v="10"/>
          </reference>
        </references>
      </pivotArea>
    </chartFormat>
    <chartFormat chart="8" format="45" series="1">
      <pivotArea type="data" outline="0" fieldPosition="0">
        <references count="2">
          <reference field="4294967294" count="1" selected="0">
            <x v="0"/>
          </reference>
          <reference field="1" count="1" selected="0">
            <x v="11"/>
          </reference>
        </references>
      </pivotArea>
    </chartFormat>
    <chartFormat chart="8" format="46" series="1">
      <pivotArea type="data" outline="0" fieldPosition="0">
        <references count="2">
          <reference field="4294967294" count="1" selected="0">
            <x v="0"/>
          </reference>
          <reference field="1" count="1" selected="0">
            <x v="12"/>
          </reference>
        </references>
      </pivotArea>
    </chartFormat>
    <chartFormat chart="8" format="47" series="1">
      <pivotArea type="data" outline="0" fieldPosition="0">
        <references count="2">
          <reference field="4294967294" count="1" selected="0">
            <x v="0"/>
          </reference>
          <reference field="1" count="1" selected="0">
            <x v="13"/>
          </reference>
        </references>
      </pivotArea>
    </chartFormat>
    <chartFormat chart="8" format="48" series="1">
      <pivotArea type="data" outline="0" fieldPosition="0">
        <references count="2">
          <reference field="4294967294" count="1" selected="0">
            <x v="0"/>
          </reference>
          <reference field="1" count="1" selected="0">
            <x v="14"/>
          </reference>
        </references>
      </pivotArea>
    </chartFormat>
    <chartFormat chart="8" format="49" series="1">
      <pivotArea type="data" outline="0" fieldPosition="0">
        <references count="2">
          <reference field="4294967294" count="1" selected="0">
            <x v="0"/>
          </reference>
          <reference field="1" count="1" selected="0">
            <x v="15"/>
          </reference>
        </references>
      </pivotArea>
    </chartFormat>
    <chartFormat chart="8" format="50" series="1">
      <pivotArea type="data" outline="0" fieldPosition="0">
        <references count="2">
          <reference field="4294967294" count="1" selected="0">
            <x v="0"/>
          </reference>
          <reference field="1" count="1" selected="0">
            <x v="16"/>
          </reference>
        </references>
      </pivotArea>
    </chartFormat>
    <chartFormat chart="8" format="51"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5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ifestyle &amp; health Proj1.2.xlsm!Table1_2">
        <x15:activeTabTopLevelEntity name="[Table1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2C6FB8-41A7-413D-80D4-C43D3166C39C}" name="PivotTable7" cacheId="7" applyNumberFormats="0" applyBorderFormats="0" applyFontFormats="0" applyPatternFormats="0" applyAlignmentFormats="0" applyWidthHeightFormats="1" dataCaption="Values" tag="909f050a-7f85-40ff-866e-0ab019820c85" updatedVersion="8" minRefreshableVersion="3" useAutoFormatting="1" rowGrandTotals="0" colGrandTotals="0" itemPrintTitles="1" createdVersion="8" indent="0" outline="1" outlineData="1" multipleFieldFilters="0" chartFormat="14">
  <location ref="A53:S59" firstHeaderRow="1" firstDataRow="2" firstDataCol="1"/>
  <pivotFields count="3">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s>
  <rowFields count="1">
    <field x="0"/>
  </rowFields>
  <rowItems count="5">
    <i>
      <x/>
    </i>
    <i>
      <x v="1"/>
    </i>
    <i>
      <x v="2"/>
    </i>
    <i>
      <x v="3"/>
    </i>
    <i>
      <x v="4"/>
    </i>
  </rowItems>
  <colFields count="1">
    <field x="1"/>
  </colFields>
  <colItems count="18">
    <i>
      <x/>
    </i>
    <i>
      <x v="1"/>
    </i>
    <i>
      <x v="2"/>
    </i>
    <i>
      <x v="3"/>
    </i>
    <i>
      <x v="4"/>
    </i>
    <i>
      <x v="5"/>
    </i>
    <i>
      <x v="6"/>
    </i>
    <i>
      <x v="7"/>
    </i>
    <i>
      <x v="8"/>
    </i>
    <i>
      <x v="9"/>
    </i>
    <i>
      <x v="10"/>
    </i>
    <i>
      <x v="11"/>
    </i>
    <i>
      <x v="12"/>
    </i>
    <i>
      <x v="13"/>
    </i>
    <i>
      <x v="14"/>
    </i>
    <i>
      <x v="15"/>
    </i>
    <i>
      <x v="16"/>
    </i>
    <i>
      <x v="17"/>
    </i>
  </colItems>
  <dataFields count="1">
    <dataField name="Count of Health issues" fld="2" subtotal="count" baseField="0" baseItem="0"/>
  </dataFields>
  <chartFormats count="19">
    <chartFormat chart="10" format="36" series="1">
      <pivotArea type="data" outline="0" fieldPosition="0">
        <references count="2">
          <reference field="4294967294" count="1" selected="0">
            <x v="0"/>
          </reference>
          <reference field="1" count="1" selected="0">
            <x v="0"/>
          </reference>
        </references>
      </pivotArea>
    </chartFormat>
    <chartFormat chart="10" format="37" series="1">
      <pivotArea type="data" outline="0" fieldPosition="0">
        <references count="2">
          <reference field="4294967294" count="1" selected="0">
            <x v="0"/>
          </reference>
          <reference field="1" count="1" selected="0">
            <x v="1"/>
          </reference>
        </references>
      </pivotArea>
    </chartFormat>
    <chartFormat chart="10" format="38" series="1">
      <pivotArea type="data" outline="0" fieldPosition="0">
        <references count="2">
          <reference field="4294967294" count="1" selected="0">
            <x v="0"/>
          </reference>
          <reference field="1" count="1" selected="0">
            <x v="2"/>
          </reference>
        </references>
      </pivotArea>
    </chartFormat>
    <chartFormat chart="10" format="39" series="1">
      <pivotArea type="data" outline="0" fieldPosition="0">
        <references count="2">
          <reference field="4294967294" count="1" selected="0">
            <x v="0"/>
          </reference>
          <reference field="1" count="1" selected="0">
            <x v="3"/>
          </reference>
        </references>
      </pivotArea>
    </chartFormat>
    <chartFormat chart="10" format="40" series="1">
      <pivotArea type="data" outline="0" fieldPosition="0">
        <references count="2">
          <reference field="4294967294" count="1" selected="0">
            <x v="0"/>
          </reference>
          <reference field="1" count="1" selected="0">
            <x v="4"/>
          </reference>
        </references>
      </pivotArea>
    </chartFormat>
    <chartFormat chart="10" format="41" series="1">
      <pivotArea type="data" outline="0" fieldPosition="0">
        <references count="2">
          <reference field="4294967294" count="1" selected="0">
            <x v="0"/>
          </reference>
          <reference field="1" count="1" selected="0">
            <x v="5"/>
          </reference>
        </references>
      </pivotArea>
    </chartFormat>
    <chartFormat chart="10" format="42" series="1">
      <pivotArea type="data" outline="0" fieldPosition="0">
        <references count="2">
          <reference field="4294967294" count="1" selected="0">
            <x v="0"/>
          </reference>
          <reference field="1" count="1" selected="0">
            <x v="6"/>
          </reference>
        </references>
      </pivotArea>
    </chartFormat>
    <chartFormat chart="10" format="43" series="1">
      <pivotArea type="data" outline="0" fieldPosition="0">
        <references count="2">
          <reference field="4294967294" count="1" selected="0">
            <x v="0"/>
          </reference>
          <reference field="1" count="1" selected="0">
            <x v="7"/>
          </reference>
        </references>
      </pivotArea>
    </chartFormat>
    <chartFormat chart="10" format="44" series="1">
      <pivotArea type="data" outline="0" fieldPosition="0">
        <references count="2">
          <reference field="4294967294" count="1" selected="0">
            <x v="0"/>
          </reference>
          <reference field="1" count="1" selected="0">
            <x v="8"/>
          </reference>
        </references>
      </pivotArea>
    </chartFormat>
    <chartFormat chart="10" format="45" series="1">
      <pivotArea type="data" outline="0" fieldPosition="0">
        <references count="2">
          <reference field="4294967294" count="1" selected="0">
            <x v="0"/>
          </reference>
          <reference field="1" count="1" selected="0">
            <x v="9"/>
          </reference>
        </references>
      </pivotArea>
    </chartFormat>
    <chartFormat chart="10" format="46" series="1">
      <pivotArea type="data" outline="0" fieldPosition="0">
        <references count="2">
          <reference field="4294967294" count="1" selected="0">
            <x v="0"/>
          </reference>
          <reference field="1" count="1" selected="0">
            <x v="10"/>
          </reference>
        </references>
      </pivotArea>
    </chartFormat>
    <chartFormat chart="10" format="47" series="1">
      <pivotArea type="data" outline="0" fieldPosition="0">
        <references count="2">
          <reference field="4294967294" count="1" selected="0">
            <x v="0"/>
          </reference>
          <reference field="1" count="1" selected="0">
            <x v="11"/>
          </reference>
        </references>
      </pivotArea>
    </chartFormat>
    <chartFormat chart="10" format="48" series="1">
      <pivotArea type="data" outline="0" fieldPosition="0">
        <references count="2">
          <reference field="4294967294" count="1" selected="0">
            <x v="0"/>
          </reference>
          <reference field="1" count="1" selected="0">
            <x v="12"/>
          </reference>
        </references>
      </pivotArea>
    </chartFormat>
    <chartFormat chart="10" format="49" series="1">
      <pivotArea type="data" outline="0" fieldPosition="0">
        <references count="2">
          <reference field="4294967294" count="1" selected="0">
            <x v="0"/>
          </reference>
          <reference field="1" count="1" selected="0">
            <x v="13"/>
          </reference>
        </references>
      </pivotArea>
    </chartFormat>
    <chartFormat chart="10" format="50" series="1">
      <pivotArea type="data" outline="0" fieldPosition="0">
        <references count="2">
          <reference field="4294967294" count="1" selected="0">
            <x v="0"/>
          </reference>
          <reference field="1" count="1" selected="0">
            <x v="14"/>
          </reference>
        </references>
      </pivotArea>
    </chartFormat>
    <chartFormat chart="10" format="51" series="1">
      <pivotArea type="data" outline="0" fieldPosition="0">
        <references count="2">
          <reference field="4294967294" count="1" selected="0">
            <x v="0"/>
          </reference>
          <reference field="1" count="1" selected="0">
            <x v="15"/>
          </reference>
        </references>
      </pivotArea>
    </chartFormat>
    <chartFormat chart="10" format="52" series="1">
      <pivotArea type="data" outline="0" fieldPosition="0">
        <references count="2">
          <reference field="4294967294" count="1" selected="0">
            <x v="0"/>
          </reference>
          <reference field="1" count="1" selected="0">
            <x v="16"/>
          </reference>
        </references>
      </pivotArea>
    </chartFormat>
    <chartFormat chart="10" format="53" series="1">
      <pivotArea type="data" outline="0" fieldPosition="0">
        <references count="2">
          <reference field="4294967294" count="1" selected="0">
            <x v="0"/>
          </reference>
          <reference field="1" count="1" selected="0">
            <x v="17"/>
          </reference>
        </references>
      </pivotArea>
    </chartFormat>
    <chartFormat chart="10" format="54"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4"/>
  </rowHierarchiesUsage>
  <colHierarchiesUsage count="1">
    <colHierarchyUsage hierarchyUsage="5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ifestyle &amp; health Proj1.2.xlsm!Table1_2">
        <x15:activeTabTopLevelEntity name="[Table1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042826-51FE-4767-BC6B-96F67DA096D9}" name="PivotTable1" cacheId="1" applyNumberFormats="0" applyBorderFormats="0" applyFontFormats="0" applyPatternFormats="0" applyAlignmentFormats="0" applyWidthHeightFormats="1" dataCaption="Values" tag="e380d46c-07ac-46c0-afe2-8bf5bf9c8c2f" updatedVersion="8" minRefreshableVersion="3" useAutoFormatting="1" rowGrandTotals="0" colGrandTotals="0" itemPrintTitles="1" createdVersion="8" indent="0" outline="1" outlineData="1" multipleFieldFilters="0" chartFormat="9">
  <location ref="A3:C8" firstHeaderRow="1" firstDataRow="2" firstDataCol="1"/>
  <pivotFields count="4">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Fields count="1">
    <field x="1"/>
  </colFields>
  <colItems count="2">
    <i>
      <x/>
    </i>
    <i>
      <x v="1"/>
    </i>
  </colItems>
  <dataFields count="1">
    <dataField name="Count of BMI_Category" fld="2" subtotal="count" baseField="0" baseItem="0"/>
  </dataFields>
  <chartFormats count="3">
    <chartFormat chart="2" format="4" series="1">
      <pivotArea type="data" outline="0" fieldPosition="0">
        <references count="2">
          <reference field="4294967294" count="1" selected="0">
            <x v="0"/>
          </reference>
          <reference field="1" count="1" selected="0">
            <x v="0"/>
          </reference>
        </references>
      </pivotArea>
    </chartFormat>
    <chartFormat chart="2" format="5" series="1">
      <pivotArea type="data" outline="0" fieldPosition="0">
        <references count="2">
          <reference field="4294967294" count="1" selected="0">
            <x v="0"/>
          </reference>
          <reference field="1" count="1" selected="0">
            <x v="1"/>
          </reference>
        </references>
      </pivotArea>
    </chartFormat>
    <chartFormat chart="2" format="6"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6"/>
  </rowHierarchiesUsage>
  <colHierarchiesUsage count="1">
    <colHierarchyUsage hierarchyUsage="3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ifestyle &amp; health Proj1.2.xlsm!Table1_2">
        <x15:activeTabTopLevelEntity name="[Table1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1D41C5-BDC3-4004-B843-B3C3F989E79B}"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63:S89" firstHeaderRow="1" firstDataRow="2" firstDataCol="1"/>
  <pivotFields count="20">
    <pivotField showAll="0"/>
    <pivotField showAll="0"/>
    <pivotField showAll="0"/>
    <pivotField showAll="0"/>
    <pivotField showAll="0"/>
    <pivotField showAll="0"/>
    <pivotField showAll="0"/>
    <pivotField showAll="0"/>
    <pivotField axis="axisRow" showAll="0">
      <items count="26">
        <item x="8"/>
        <item x="23"/>
        <item x="10"/>
        <item x="19"/>
        <item x="17"/>
        <item x="2"/>
        <item x="22"/>
        <item x="0"/>
        <item x="18"/>
        <item x="15"/>
        <item x="1"/>
        <item x="9"/>
        <item x="3"/>
        <item x="12"/>
        <item x="14"/>
        <item x="7"/>
        <item x="5"/>
        <item x="4"/>
        <item x="16"/>
        <item x="20"/>
        <item x="21"/>
        <item x="13"/>
        <item x="24"/>
        <item x="6"/>
        <item x="11"/>
        <item t="default"/>
      </items>
    </pivotField>
    <pivotField showAll="0"/>
    <pivotField showAll="0"/>
    <pivotField showAll="0"/>
    <pivotField axis="axisCol" dataField="1" showAll="0">
      <items count="19">
        <item x="8"/>
        <item x="10"/>
        <item x="2"/>
        <item x="16"/>
        <item x="3"/>
        <item x="17"/>
        <item x="5"/>
        <item x="7"/>
        <item x="6"/>
        <item x="11"/>
        <item x="12"/>
        <item x="1"/>
        <item x="15"/>
        <item x="0"/>
        <item x="9"/>
        <item x="14"/>
        <item x="4"/>
        <item x="13"/>
        <item t="default"/>
      </items>
    </pivotField>
    <pivotField showAll="0"/>
    <pivotField showAll="0"/>
    <pivotField showAll="0"/>
    <pivotField showAll="0"/>
    <pivotField showAll="0"/>
    <pivotField showAll="0"/>
    <pivotField showAll="0"/>
  </pivotFields>
  <rowFields count="1">
    <field x="8"/>
  </rowFields>
  <rowItems count="25">
    <i>
      <x/>
    </i>
    <i>
      <x v="1"/>
    </i>
    <i>
      <x v="2"/>
    </i>
    <i>
      <x v="3"/>
    </i>
    <i>
      <x v="4"/>
    </i>
    <i>
      <x v="5"/>
    </i>
    <i>
      <x v="6"/>
    </i>
    <i>
      <x v="7"/>
    </i>
    <i>
      <x v="8"/>
    </i>
    <i>
      <x v="9"/>
    </i>
    <i>
      <x v="10"/>
    </i>
    <i>
      <x v="11"/>
    </i>
    <i>
      <x v="12"/>
    </i>
    <i>
      <x v="13"/>
    </i>
    <i>
      <x v="14"/>
    </i>
    <i>
      <x v="15"/>
    </i>
    <i>
      <x v="16"/>
    </i>
    <i>
      <x v="17"/>
    </i>
    <i>
      <x v="18"/>
    </i>
    <i>
      <x v="19"/>
    </i>
    <i>
      <x v="20"/>
    </i>
    <i>
      <x v="21"/>
    </i>
    <i>
      <x v="22"/>
    </i>
    <i>
      <x v="23"/>
    </i>
    <i>
      <x v="24"/>
    </i>
  </rowItems>
  <colFields count="1">
    <field x="12"/>
  </colFields>
  <colItems count="18">
    <i>
      <x/>
    </i>
    <i>
      <x v="1"/>
    </i>
    <i>
      <x v="2"/>
    </i>
    <i>
      <x v="3"/>
    </i>
    <i>
      <x v="4"/>
    </i>
    <i>
      <x v="5"/>
    </i>
    <i>
      <x v="6"/>
    </i>
    <i>
      <x v="7"/>
    </i>
    <i>
      <x v="8"/>
    </i>
    <i>
      <x v="9"/>
    </i>
    <i>
      <x v="10"/>
    </i>
    <i>
      <x v="11"/>
    </i>
    <i>
      <x v="12"/>
    </i>
    <i>
      <x v="13"/>
    </i>
    <i>
      <x v="14"/>
    </i>
    <i>
      <x v="15"/>
    </i>
    <i>
      <x v="16"/>
    </i>
    <i>
      <x v="17"/>
    </i>
  </colItems>
  <dataFields count="1">
    <dataField name="Count of Health issues" fld="12" subtotal="count" baseField="0" baseItem="0"/>
  </dataFields>
  <chartFormats count="18">
    <chartFormat chart="2" format="36" series="1">
      <pivotArea type="data" outline="0" fieldPosition="0">
        <references count="2">
          <reference field="4294967294" count="1" selected="0">
            <x v="0"/>
          </reference>
          <reference field="12" count="1" selected="0">
            <x v="0"/>
          </reference>
        </references>
      </pivotArea>
    </chartFormat>
    <chartFormat chart="2" format="37" series="1">
      <pivotArea type="data" outline="0" fieldPosition="0">
        <references count="2">
          <reference field="4294967294" count="1" selected="0">
            <x v="0"/>
          </reference>
          <reference field="12" count="1" selected="0">
            <x v="1"/>
          </reference>
        </references>
      </pivotArea>
    </chartFormat>
    <chartFormat chart="2" format="38" series="1">
      <pivotArea type="data" outline="0" fieldPosition="0">
        <references count="2">
          <reference field="4294967294" count="1" selected="0">
            <x v="0"/>
          </reference>
          <reference field="12" count="1" selected="0">
            <x v="2"/>
          </reference>
        </references>
      </pivotArea>
    </chartFormat>
    <chartFormat chart="2" format="39" series="1">
      <pivotArea type="data" outline="0" fieldPosition="0">
        <references count="2">
          <reference field="4294967294" count="1" selected="0">
            <x v="0"/>
          </reference>
          <reference field="12" count="1" selected="0">
            <x v="3"/>
          </reference>
        </references>
      </pivotArea>
    </chartFormat>
    <chartFormat chart="2" format="40" series="1">
      <pivotArea type="data" outline="0" fieldPosition="0">
        <references count="2">
          <reference field="4294967294" count="1" selected="0">
            <x v="0"/>
          </reference>
          <reference field="12" count="1" selected="0">
            <x v="4"/>
          </reference>
        </references>
      </pivotArea>
    </chartFormat>
    <chartFormat chart="2" format="41" series="1">
      <pivotArea type="data" outline="0" fieldPosition="0">
        <references count="2">
          <reference field="4294967294" count="1" selected="0">
            <x v="0"/>
          </reference>
          <reference field="12" count="1" selected="0">
            <x v="5"/>
          </reference>
        </references>
      </pivotArea>
    </chartFormat>
    <chartFormat chart="2" format="42" series="1">
      <pivotArea type="data" outline="0" fieldPosition="0">
        <references count="2">
          <reference field="4294967294" count="1" selected="0">
            <x v="0"/>
          </reference>
          <reference field="12" count="1" selected="0">
            <x v="6"/>
          </reference>
        </references>
      </pivotArea>
    </chartFormat>
    <chartFormat chart="2" format="43" series="1">
      <pivotArea type="data" outline="0" fieldPosition="0">
        <references count="2">
          <reference field="4294967294" count="1" selected="0">
            <x v="0"/>
          </reference>
          <reference field="12" count="1" selected="0">
            <x v="7"/>
          </reference>
        </references>
      </pivotArea>
    </chartFormat>
    <chartFormat chart="2" format="44" series="1">
      <pivotArea type="data" outline="0" fieldPosition="0">
        <references count="2">
          <reference field="4294967294" count="1" selected="0">
            <x v="0"/>
          </reference>
          <reference field="12" count="1" selected="0">
            <x v="8"/>
          </reference>
        </references>
      </pivotArea>
    </chartFormat>
    <chartFormat chart="2" format="45" series="1">
      <pivotArea type="data" outline="0" fieldPosition="0">
        <references count="2">
          <reference field="4294967294" count="1" selected="0">
            <x v="0"/>
          </reference>
          <reference field="12" count="1" selected="0">
            <x v="9"/>
          </reference>
        </references>
      </pivotArea>
    </chartFormat>
    <chartFormat chart="2" format="46" series="1">
      <pivotArea type="data" outline="0" fieldPosition="0">
        <references count="2">
          <reference field="4294967294" count="1" selected="0">
            <x v="0"/>
          </reference>
          <reference field="12" count="1" selected="0">
            <x v="10"/>
          </reference>
        </references>
      </pivotArea>
    </chartFormat>
    <chartFormat chart="2" format="47" series="1">
      <pivotArea type="data" outline="0" fieldPosition="0">
        <references count="2">
          <reference field="4294967294" count="1" selected="0">
            <x v="0"/>
          </reference>
          <reference field="12" count="1" selected="0">
            <x v="11"/>
          </reference>
        </references>
      </pivotArea>
    </chartFormat>
    <chartFormat chart="2" format="48" series="1">
      <pivotArea type="data" outline="0" fieldPosition="0">
        <references count="2">
          <reference field="4294967294" count="1" selected="0">
            <x v="0"/>
          </reference>
          <reference field="12" count="1" selected="0">
            <x v="12"/>
          </reference>
        </references>
      </pivotArea>
    </chartFormat>
    <chartFormat chart="2" format="49" series="1">
      <pivotArea type="data" outline="0" fieldPosition="0">
        <references count="2">
          <reference field="4294967294" count="1" selected="0">
            <x v="0"/>
          </reference>
          <reference field="12" count="1" selected="0">
            <x v="13"/>
          </reference>
        </references>
      </pivotArea>
    </chartFormat>
    <chartFormat chart="2" format="50" series="1">
      <pivotArea type="data" outline="0" fieldPosition="0">
        <references count="2">
          <reference field="4294967294" count="1" selected="0">
            <x v="0"/>
          </reference>
          <reference field="12" count="1" selected="0">
            <x v="14"/>
          </reference>
        </references>
      </pivotArea>
    </chartFormat>
    <chartFormat chart="2" format="51" series="1">
      <pivotArea type="data" outline="0" fieldPosition="0">
        <references count="2">
          <reference field="4294967294" count="1" selected="0">
            <x v="0"/>
          </reference>
          <reference field="12" count="1" selected="0">
            <x v="15"/>
          </reference>
        </references>
      </pivotArea>
    </chartFormat>
    <chartFormat chart="2" format="52" series="1">
      <pivotArea type="data" outline="0" fieldPosition="0">
        <references count="2">
          <reference field="4294967294" count="1" selected="0">
            <x v="0"/>
          </reference>
          <reference field="12" count="1" selected="0">
            <x v="16"/>
          </reference>
        </references>
      </pivotArea>
    </chartFormat>
    <chartFormat chart="2" format="53" series="1">
      <pivotArea type="data" outline="0" fieldPosition="0">
        <references count="2">
          <reference field="4294967294" count="1" selected="0">
            <x v="0"/>
          </reference>
          <reference field="12"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E0A420-738D-4491-A502-CB4EFAEDF79E}" name="PivotTable2" cacheId="2" applyNumberFormats="0" applyBorderFormats="0" applyFontFormats="0" applyPatternFormats="0" applyAlignmentFormats="0" applyWidthHeightFormats="1" dataCaption="Values" tag="9256dcee-feaf-4b25-8e59-4425d5465237" updatedVersion="8" minRefreshableVersion="3" useAutoFormatting="1" rowGrandTotals="0" colGrandTotals="0" itemPrintTitles="1" createdVersion="8" indent="0" outline="1" outlineData="1" multipleFieldFilters="0" chartFormat="19" rowHeaderCaption="Age Group">
  <location ref="F3:G9"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name="Average of BMI" fld="1" subtotal="average" baseField="0" baseItem="0"/>
  </dataFields>
  <chartFormats count="1">
    <chartFormat chart="2"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BMI"/>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ifestyle &amp; health Proj1.2.xlsm!Table1_2">
        <x15:activeTabTopLevelEntity name="[Table1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7F354D9-AF1A-4869-8400-D93525B80F2E}" name="PivotTable4" cacheId="4" applyNumberFormats="0" applyBorderFormats="0" applyFontFormats="0" applyPatternFormats="0" applyAlignmentFormats="0" applyWidthHeightFormats="1" dataCaption="Values" tag="a63935ba-dc62-46f5-a747-1a5d22377633" updatedVersion="8" minRefreshableVersion="3" useAutoFormatting="1" rowGrandTotals="0" colGrandTotals="0" itemPrintTitles="1" createdVersion="8" indent="0" outline="1" outlineData="1" multipleFieldFilters="0" chartFormat="7">
  <location ref="A23:S28" firstHeaderRow="1" firstDataRow="2" firstDataCol="1"/>
  <pivotFields count="3">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s>
  <rowFields count="1">
    <field x="0"/>
  </rowFields>
  <rowItems count="4">
    <i>
      <x/>
    </i>
    <i>
      <x v="1"/>
    </i>
    <i>
      <x v="2"/>
    </i>
    <i>
      <x v="3"/>
    </i>
  </rowItems>
  <colFields count="1">
    <field x="1"/>
  </colFields>
  <colItems count="18">
    <i>
      <x/>
    </i>
    <i>
      <x v="1"/>
    </i>
    <i>
      <x v="2"/>
    </i>
    <i>
      <x v="3"/>
    </i>
    <i>
      <x v="4"/>
    </i>
    <i>
      <x v="5"/>
    </i>
    <i>
      <x v="6"/>
    </i>
    <i>
      <x v="7"/>
    </i>
    <i>
      <x v="8"/>
    </i>
    <i>
      <x v="9"/>
    </i>
    <i>
      <x v="10"/>
    </i>
    <i>
      <x v="11"/>
    </i>
    <i>
      <x v="12"/>
    </i>
    <i>
      <x v="13"/>
    </i>
    <i>
      <x v="14"/>
    </i>
    <i>
      <x v="15"/>
    </i>
    <i>
      <x v="16"/>
    </i>
    <i>
      <x v="17"/>
    </i>
  </colItems>
  <dataFields count="1">
    <dataField name="Count of Health issues" fld="2" subtotal="count" baseField="0" baseItem="0"/>
  </dataFields>
  <chartFormats count="19">
    <chartFormat chart="2" format="36" series="1">
      <pivotArea type="data" outline="0" fieldPosition="0">
        <references count="2">
          <reference field="4294967294" count="1" selected="0">
            <x v="0"/>
          </reference>
          <reference field="1" count="1" selected="0">
            <x v="0"/>
          </reference>
        </references>
      </pivotArea>
    </chartFormat>
    <chartFormat chart="2" format="37" series="1">
      <pivotArea type="data" outline="0" fieldPosition="0">
        <references count="2">
          <reference field="4294967294" count="1" selected="0">
            <x v="0"/>
          </reference>
          <reference field="1" count="1" selected="0">
            <x v="1"/>
          </reference>
        </references>
      </pivotArea>
    </chartFormat>
    <chartFormat chart="2" format="38" series="1">
      <pivotArea type="data" outline="0" fieldPosition="0">
        <references count="2">
          <reference field="4294967294" count="1" selected="0">
            <x v="0"/>
          </reference>
          <reference field="1" count="1" selected="0">
            <x v="2"/>
          </reference>
        </references>
      </pivotArea>
    </chartFormat>
    <chartFormat chart="2" format="39" series="1">
      <pivotArea type="data" outline="0" fieldPosition="0">
        <references count="2">
          <reference field="4294967294" count="1" selected="0">
            <x v="0"/>
          </reference>
          <reference field="1" count="1" selected="0">
            <x v="3"/>
          </reference>
        </references>
      </pivotArea>
    </chartFormat>
    <chartFormat chart="2" format="40" series="1">
      <pivotArea type="data" outline="0" fieldPosition="0">
        <references count="2">
          <reference field="4294967294" count="1" selected="0">
            <x v="0"/>
          </reference>
          <reference field="1" count="1" selected="0">
            <x v="4"/>
          </reference>
        </references>
      </pivotArea>
    </chartFormat>
    <chartFormat chart="2" format="41" series="1">
      <pivotArea type="data" outline="0" fieldPosition="0">
        <references count="2">
          <reference field="4294967294" count="1" selected="0">
            <x v="0"/>
          </reference>
          <reference field="1" count="1" selected="0">
            <x v="5"/>
          </reference>
        </references>
      </pivotArea>
    </chartFormat>
    <chartFormat chart="2" format="42" series="1">
      <pivotArea type="data" outline="0" fieldPosition="0">
        <references count="2">
          <reference field="4294967294" count="1" selected="0">
            <x v="0"/>
          </reference>
          <reference field="1" count="1" selected="0">
            <x v="6"/>
          </reference>
        </references>
      </pivotArea>
    </chartFormat>
    <chartFormat chart="2" format="43" series="1">
      <pivotArea type="data" outline="0" fieldPosition="0">
        <references count="2">
          <reference field="4294967294" count="1" selected="0">
            <x v="0"/>
          </reference>
          <reference field="1" count="1" selected="0">
            <x v="7"/>
          </reference>
        </references>
      </pivotArea>
    </chartFormat>
    <chartFormat chart="2" format="44" series="1">
      <pivotArea type="data" outline="0" fieldPosition="0">
        <references count="2">
          <reference field="4294967294" count="1" selected="0">
            <x v="0"/>
          </reference>
          <reference field="1" count="1" selected="0">
            <x v="8"/>
          </reference>
        </references>
      </pivotArea>
    </chartFormat>
    <chartFormat chart="2" format="45" series="1">
      <pivotArea type="data" outline="0" fieldPosition="0">
        <references count="2">
          <reference field="4294967294" count="1" selected="0">
            <x v="0"/>
          </reference>
          <reference field="1" count="1" selected="0">
            <x v="9"/>
          </reference>
        </references>
      </pivotArea>
    </chartFormat>
    <chartFormat chart="2" format="46" series="1">
      <pivotArea type="data" outline="0" fieldPosition="0">
        <references count="2">
          <reference field="4294967294" count="1" selected="0">
            <x v="0"/>
          </reference>
          <reference field="1" count="1" selected="0">
            <x v="10"/>
          </reference>
        </references>
      </pivotArea>
    </chartFormat>
    <chartFormat chart="2" format="47" series="1">
      <pivotArea type="data" outline="0" fieldPosition="0">
        <references count="2">
          <reference field="4294967294" count="1" selected="0">
            <x v="0"/>
          </reference>
          <reference field="1" count="1" selected="0">
            <x v="11"/>
          </reference>
        </references>
      </pivotArea>
    </chartFormat>
    <chartFormat chart="2" format="48" series="1">
      <pivotArea type="data" outline="0" fieldPosition="0">
        <references count="2">
          <reference field="4294967294" count="1" selected="0">
            <x v="0"/>
          </reference>
          <reference field="1" count="1" selected="0">
            <x v="12"/>
          </reference>
        </references>
      </pivotArea>
    </chartFormat>
    <chartFormat chart="2" format="49" series="1">
      <pivotArea type="data" outline="0" fieldPosition="0">
        <references count="2">
          <reference field="4294967294" count="1" selected="0">
            <x v="0"/>
          </reference>
          <reference field="1" count="1" selected="0">
            <x v="13"/>
          </reference>
        </references>
      </pivotArea>
    </chartFormat>
    <chartFormat chart="2" format="50" series="1">
      <pivotArea type="data" outline="0" fieldPosition="0">
        <references count="2">
          <reference field="4294967294" count="1" selected="0">
            <x v="0"/>
          </reference>
          <reference field="1" count="1" selected="0">
            <x v="14"/>
          </reference>
        </references>
      </pivotArea>
    </chartFormat>
    <chartFormat chart="2" format="51" series="1">
      <pivotArea type="data" outline="0" fieldPosition="0">
        <references count="2">
          <reference field="4294967294" count="1" selected="0">
            <x v="0"/>
          </reference>
          <reference field="1" count="1" selected="0">
            <x v="15"/>
          </reference>
        </references>
      </pivotArea>
    </chartFormat>
    <chartFormat chart="2" format="52" series="1">
      <pivotArea type="data" outline="0" fieldPosition="0">
        <references count="2">
          <reference field="4294967294" count="1" selected="0">
            <x v="0"/>
          </reference>
          <reference field="1" count="1" selected="0">
            <x v="16"/>
          </reference>
        </references>
      </pivotArea>
    </chartFormat>
    <chartFormat chart="2" format="53" series="1">
      <pivotArea type="data" outline="0" fieldPosition="0">
        <references count="2">
          <reference field="4294967294" count="1" selected="0">
            <x v="0"/>
          </reference>
          <reference field="1" count="1" selected="0">
            <x v="17"/>
          </reference>
        </references>
      </pivotArea>
    </chartFormat>
    <chartFormat chart="2" format="54"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1"/>
  </rowHierarchiesUsage>
  <colHierarchiesUsage count="1">
    <colHierarchyUsage hierarchyUsage="5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ifestyle &amp; health Proj1.2.xlsm!Table1_2">
        <x15:activeTabTopLevelEntity name="[Table1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B50EE32-34DF-4FEF-B54D-F86F2470CFF2}" name="PivotTable6" cacheId="6" applyNumberFormats="0" applyBorderFormats="0" applyFontFormats="0" applyPatternFormats="0" applyAlignmentFormats="0" applyWidthHeightFormats="1" dataCaption="Values" tag="f0dab097-be84-4bf0-852d-8464f83094bf" updatedVersion="8" minRefreshableVersion="3" useAutoFormatting="1" rowGrandTotals="0" colGrandTotals="0" itemPrintTitles="1" createdVersion="8" indent="0" outline="1" outlineData="1" multipleFieldFilters="0" chartFormat="5">
  <location ref="A42:E48" firstHeaderRow="1" firstDataRow="2" firstDataCol="1"/>
  <pivotFields count="4">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1"/>
  </colFields>
  <colItems count="4">
    <i>
      <x/>
    </i>
    <i>
      <x v="1"/>
    </i>
    <i>
      <x v="2"/>
    </i>
    <i>
      <x v="3"/>
    </i>
  </colItems>
  <dataFields count="1">
    <dataField name="Count of BMI_Category" fld="2" subtotal="count" baseField="0" baseItem="0"/>
  </dataFields>
  <chartFormats count="5">
    <chartFormat chart="2" format="8" series="1">
      <pivotArea type="data" outline="0" fieldPosition="0">
        <references count="2">
          <reference field="4294967294" count="1" selected="0">
            <x v="0"/>
          </reference>
          <reference field="1" count="1" selected="0">
            <x v="0"/>
          </reference>
        </references>
      </pivotArea>
    </chartFormat>
    <chartFormat chart="2" format="9" series="1">
      <pivotArea type="data" outline="0" fieldPosition="0">
        <references count="2">
          <reference field="4294967294" count="1" selected="0">
            <x v="0"/>
          </reference>
          <reference field="1" count="1" selected="0">
            <x v="1"/>
          </reference>
        </references>
      </pivotArea>
    </chartFormat>
    <chartFormat chart="2" format="10" series="1">
      <pivotArea type="data" outline="0" fieldPosition="0">
        <references count="2">
          <reference field="4294967294" count="1" selected="0">
            <x v="0"/>
          </reference>
          <reference field="1" count="1" selected="0">
            <x v="2"/>
          </reference>
        </references>
      </pivotArea>
    </chartFormat>
    <chartFormat chart="2" format="11" series="1">
      <pivotArea type="data" outline="0" fieldPosition="0">
        <references count="2">
          <reference field="4294967294" count="1" selected="0">
            <x v="0"/>
          </reference>
          <reference field="1" count="1" selected="0">
            <x v="3"/>
          </reference>
        </references>
      </pivotArea>
    </chartFormat>
    <chartFormat chart="2" format="1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3"/>
  </rowHierarchiesUsage>
  <colHierarchiesUsage count="1">
    <colHierarchyUsage hierarchyUsage="5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ifestyle &amp; health Proj1.2.xlsm!Table1_2">
        <x15:activeTabTopLevelEntity name="[Table1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E5A772A-D479-49CD-800A-EC676021A2E0}" name="PivotTable5" cacheId="5" applyNumberFormats="0" applyBorderFormats="0" applyFontFormats="0" applyPatternFormats="0" applyAlignmentFormats="0" applyWidthHeightFormats="1" dataCaption="Values" tag="17c8d6f1-6d80-43ab-a786-97e3f65bf542" updatedVersion="8" minRefreshableVersion="3" useAutoFormatting="1" rowGrandTotals="0" colGrandTotals="0" itemPrintTitles="1" createdVersion="8" indent="0" outline="1" outlineData="1" multipleFieldFilters="0" chartFormat="6">
  <location ref="A31:E39" firstHeaderRow="1" firstDataRow="2" firstDataCol="1"/>
  <pivotFields count="4">
    <pivotField axis="axisRow" allDrilled="1" subtotalTop="0" showAll="0" dataSourceSort="1" defaultSubtotal="0" defaultAttributeDrillState="1">
      <items count="7">
        <item x="0"/>
        <item x="1"/>
        <item x="2"/>
        <item x="3"/>
        <item x="4"/>
        <item x="5"/>
        <item x="6"/>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Fields count="1">
    <field x="1"/>
  </colFields>
  <colItems count="4">
    <i>
      <x/>
    </i>
    <i>
      <x v="1"/>
    </i>
    <i>
      <x v="2"/>
    </i>
    <i>
      <x v="3"/>
    </i>
  </colItems>
  <dataFields count="1">
    <dataField name="Count of BMI_Category" fld="2" subtotal="count" baseField="0" baseItem="0"/>
  </dataFields>
  <chartFormats count="5">
    <chartFormat chart="2" format="8" series="1">
      <pivotArea type="data" outline="0" fieldPosition="0">
        <references count="2">
          <reference field="4294967294" count="1" selected="0">
            <x v="0"/>
          </reference>
          <reference field="1" count="1" selected="0">
            <x v="0"/>
          </reference>
        </references>
      </pivotArea>
    </chartFormat>
    <chartFormat chart="2" format="9" series="1">
      <pivotArea type="data" outline="0" fieldPosition="0">
        <references count="2">
          <reference field="4294967294" count="1" selected="0">
            <x v="0"/>
          </reference>
          <reference field="1" count="1" selected="0">
            <x v="1"/>
          </reference>
        </references>
      </pivotArea>
    </chartFormat>
    <chartFormat chart="2" format="10" series="1">
      <pivotArea type="data" outline="0" fieldPosition="0">
        <references count="2">
          <reference field="4294967294" count="1" selected="0">
            <x v="0"/>
          </reference>
          <reference field="1" count="1" selected="0">
            <x v="2"/>
          </reference>
        </references>
      </pivotArea>
    </chartFormat>
    <chartFormat chart="2" format="11" series="1">
      <pivotArea type="data" outline="0" fieldPosition="0">
        <references count="2">
          <reference field="4294967294" count="1" selected="0">
            <x v="0"/>
          </reference>
          <reference field="1" count="1" selected="0">
            <x v="3"/>
          </reference>
        </references>
      </pivotArea>
    </chartFormat>
    <chartFormat chart="2" format="1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5"/>
  </rowHierarchiesUsage>
  <colHierarchiesUsage count="1">
    <colHierarchyUsage hierarchyUsage="5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ifestyle &amp; health Proj1.2.xlsm!Table1_2">
        <x15:activeTabTopLevelEntity name="[Table1_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B146A00-18A8-4315-BC6C-DBDC24605E7B}" autoFormatId="16" applyNumberFormats="0" applyBorderFormats="0" applyFontFormats="0" applyPatternFormats="0" applyAlignmentFormats="0" applyWidthHeightFormats="0">
  <queryTableRefresh nextId="21">
    <queryTableFields count="20">
      <queryTableField id="1" name="Age Group" tableColumnId="1"/>
      <queryTableField id="2" name="Gender" tableColumnId="2"/>
      <queryTableField id="3" name="Height(in cm)" tableColumnId="3"/>
      <queryTableField id="4" name="Weight(in kg)" tableColumnId="4"/>
      <queryTableField id="5" name="Type of diet" tableColumnId="5"/>
      <queryTableField id="6" name="Oily foods consumption" tableColumnId="6"/>
      <queryTableField id="7" name="fruits and vegetables consumption frequncy" tableColumnId="7"/>
      <queryTableField id="8" name="Fast food consumption frequency" tableColumnId="8"/>
      <queryTableField id="9" name="Sugary products consumption" tableColumnId="9"/>
      <queryTableField id="10" name="Physical activity perform" tableColumnId="10"/>
      <queryTableField id="11" name="Type of physical activity" tableColumnId="11"/>
      <queryTableField id="12" name="Physical activity frequency" tableColumnId="12"/>
      <queryTableField id="13" name="Health issues" tableColumnId="13"/>
      <queryTableField id="14" name="Sleep duration" tableColumnId="14"/>
      <queryTableField id="15" name="Drinking water per day" tableColumnId="15"/>
      <queryTableField id="16" name="Stress reduction practice" tableColumnId="16"/>
      <queryTableField id="17" name="Medical check-ups frequency" tableColumnId="17"/>
      <queryTableField id="18" name="BMI" tableColumnId="18"/>
      <queryTableField id="19" name="BMI_Category" tableColumnId="19"/>
      <queryTableField id="20" name="Activity_Level" tableColumnId="20"/>
    </queryTableFields>
  </queryTableRefresh>
  <extLst>
    <ext xmlns:x15="http://schemas.microsoft.com/office/spreadsheetml/2010/11/main" uri="{883FBD77-0823-4a55-B5E3-86C4891E6966}">
      <x15:queryTable sourceDataName="Query - Table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MI_Category" xr10:uid="{834F6A1E-2772-4596-B04A-AF4C182A9E0A}" sourceName="[Table1_2].[BMI_Category]">
  <pivotTables>
    <pivotTable tabId="5" name="PivotTable1"/>
    <pivotTable tabId="5" name="PivotTable2"/>
    <pivotTable tabId="5" name="PivotTable3"/>
    <pivotTable tabId="5" name="PivotTable4"/>
    <pivotTable tabId="5" name="PivotTable5"/>
    <pivotTable tabId="5" name="PivotTable6"/>
    <pivotTable tabId="5" name="PivotTable7"/>
  </pivotTables>
  <data>
    <olap pivotCacheId="1037320363">
      <levels count="2">
        <level uniqueName="[Table1_2].[BMI_Category].[(All)]" sourceCaption="(All)" count="0"/>
        <level uniqueName="[Table1_2].[BMI_Category].[BMI_Category]" sourceCaption="BMI_Category" count="4">
          <ranges>
            <range startItem="0">
              <i n="[Table1_2].[BMI_Category].&amp;[Normal]" c="Normal"/>
              <i n="[Table1_2].[BMI_Category].&amp;[obese]" c="obese"/>
              <i n="[Table1_2].[BMI_Category].&amp;[Overweight]" c="Overweight"/>
              <i n="[Table1_2].[BMI_Category].&amp;[Underweight]" c="Underweight"/>
            </range>
          </ranges>
        </level>
      </levels>
      <selections count="1">
        <selection n="[Table1_2].[BMI_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lth_issues" xr10:uid="{2AB6CD17-8F84-4FDA-86FF-72AB2E7CA010}" sourceName="[Table1_2].[Health issues]">
  <pivotTables>
    <pivotTable tabId="5" name="PivotTable1"/>
    <pivotTable tabId="5" name="PivotTable2"/>
    <pivotTable tabId="5" name="PivotTable3"/>
    <pivotTable tabId="5" name="PivotTable4"/>
    <pivotTable tabId="5" name="PivotTable5"/>
    <pivotTable tabId="5" name="PivotTable6"/>
    <pivotTable tabId="5" name="PivotTable7"/>
  </pivotTables>
  <data>
    <olap pivotCacheId="1037320363">
      <levels count="2">
        <level uniqueName="[Table1_2].[Health issues].[(All)]" sourceCaption="(All)" count="0"/>
        <level uniqueName="[Table1_2].[Health issues].[Health issues]" sourceCaption="Health issues" count="18">
          <ranges>
            <range startItem="0">
              <i n="[Table1_2].[Health issues].&amp;[ Fatigue (Frequent tiredness)]" c=" Fatigue (Frequent tiredness)"/>
              <i n="[Table1_2].[Health issues].&amp;[ Stress/Anxiety,Insomnia (Poor sleep)]" c=" Stress/Anxiety,Insomnia (Poor sleep)"/>
              <i n="[Table1_2].[Health issues].&amp;[Digestive problems (acidity, constipation, bloating, etc)]" c="Digestive problems (acidity, constipation, bloating, etc)"/>
              <i n="[Table1_2].[Health issues].&amp;[Digestive problems (acidity, constipation, bloating, etc), Low immunity (fall sick often)]" c="Digestive problems (acidity, constipation, bloating, etc), Low immunity (fall sick often)"/>
              <i n="[Table1_2].[Health issues].&amp;[Fatigue (Frequent tiredness)]" c="Fatigue (Frequent tiredness)"/>
              <i n="[Table1_2].[Health issues].&amp;[Fatigue (Frequent tiredness), Low immunity (fall sick often)]" c="Fatigue (Frequent tiredness), Low immunity (fall sick often)"/>
              <i n="[Table1_2].[Health issues].&amp;[Fatigue (Frequent tiredness), Stress or Anxiety]" c="Fatigue (Frequent tiredness), Stress or Anxiety"/>
              <i n="[Table1_2].[Health issues].&amp;[Insomnia (Poor sleep)]" c="Insomnia (Poor sleep)"/>
              <i n="[Table1_2].[Health issues].&amp;[Insomnia (Poor sleep), Digestive problems (acidity, constipation, bloating, etc)]" c="Insomnia (Poor sleep), Digestive problems (acidity, constipation, bloating, etc)"/>
              <i n="[Table1_2].[Health issues].&amp;[Insomnia (Poor sleep), Stress or Anxiety, Digestive problems (acidity, constipation, bloating, etc)]" c="Insomnia (Poor sleep), Stress or Anxiety, Digestive problems (acidity, constipation, bloating, etc)"/>
              <i n="[Table1_2].[Health issues].&amp;[Insomnia (Poor sleep),Low immunity (fall sick often)]" c="Insomnia (Poor sleep),Low immunity (fall sick often)"/>
              <i n="[Table1_2].[Health issues].&amp;[Low immunity (fall sick often)]" c="Low immunity (fall sick often)"/>
              <i n="[Table1_2].[Health issues].&amp;[Low immunity (fall sick often), Other]" c="Low immunity (fall sick often), Other"/>
              <i n="[Table1_2].[Health issues].&amp;[None]" c="None"/>
              <i n="[Table1_2].[Health issues].&amp;[Other, Digestive problems (acidity, constipation, bloating, etc)]" c="Other, Digestive problems (acidity, constipation, bloating, etc)"/>
              <i n="[Table1_2].[Health issues].&amp;[Other,Insomnia (Poor sleep)]" c="Other,Insomnia (Poor sleep)"/>
              <i n="[Table1_2].[Health issues].&amp;[Stress or Anxiety]" c="Stress or Anxiety"/>
              <i n="[Table1_2].[Health issues].&amp;[Stress or Anxiety, Digestive problems (acidity, constipation, bloating, etc)]" c="Stress or Anxiety, Digestive problems (acidity, constipation, bloating, etc)"/>
            </range>
          </ranges>
        </level>
      </levels>
      <selections count="1">
        <selection n="[Table1_2].[Health issue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MI_Category" xr10:uid="{BD09BEA8-5EA3-48FB-AB39-FAF6BD2C0E95}" cache="Slicer_BMI_Category" caption="BMI_Category" level="1" rowHeight="241300"/>
  <slicer name="Health issues" xr10:uid="{E44E404B-6CC3-4D8C-801A-CD652C34D327}" cache="Slicer_Health_issues" caption="Health issues" startItem="10" level="1"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F26950-8ED4-40F9-A3F8-13F4072B4B50}" name="Table1" displayName="Table1" ref="A1:R129" totalsRowShown="0" headerRowDxfId="16">
  <autoFilter ref="A1:R129" xr:uid="{A8F26950-8ED4-40F9-A3F8-13F4072B4B50}"/>
  <tableColumns count="18">
    <tableColumn id="1" xr3:uid="{B6B4A0BB-0F80-476D-8CD0-9940DAC66FC6}" name=" Age Group"/>
    <tableColumn id="2" xr3:uid="{5AAC9917-0C22-46F7-8567-A1278E9454F4}" name=" Gender"/>
    <tableColumn id="3" xr3:uid="{F8219604-D6BC-4408-BDA6-068AF6C21211}" name="Height(in cm)"/>
    <tableColumn id="4" xr3:uid="{BAC16CE7-8C03-40A8-9A7B-D4511CE4A0C4}" name="Weight(in kg)"/>
    <tableColumn id="5" xr3:uid="{8FA8EA3E-C036-4A02-9B27-961B159E6A62}" name="Type of diet "/>
    <tableColumn id="6" xr3:uid="{3DDD819C-A488-4C7D-AE9E-ED31CB26B896}" name=" Oily foods consumption"/>
    <tableColumn id="7" xr3:uid="{23073379-CD3B-4A43-9F9B-327553D7D835}" name="   fruits and vegetables consumption frequncy"/>
    <tableColumn id="8" xr3:uid="{FE40295E-1936-47F7-80C9-A8A96B0F5F3C}" name="Fast food consumption frequency"/>
    <tableColumn id="9" xr3:uid="{8832EA16-98A0-4243-AA4E-750862B96BBC}" name="Sugary products consumption"/>
    <tableColumn id="10" xr3:uid="{9F430CFE-E261-48E1-8515-1BFCED291259}" name="Physical activity perform"/>
    <tableColumn id="11" xr3:uid="{2B4A4383-550C-49D6-A409-BE9D98A41656}" name="Type of physical activity"/>
    <tableColumn id="12" xr3:uid="{6E245CE7-8EFC-4735-B5B4-891E2B63BEDA}" name=" Physical activity frequency"/>
    <tableColumn id="13" xr3:uid="{B149F2AF-5E22-462E-80C0-66BB761124DA}" name="Health issues"/>
    <tableColumn id="14" xr3:uid="{269BF868-EE10-47F7-AC11-DAFDDEC30D5D}" name="Sleep duration"/>
    <tableColumn id="15" xr3:uid="{23C6AA78-B47E-415B-A153-B8ED73B927C2}" name="Drinking water per day"/>
    <tableColumn id="16" xr3:uid="{32C6B583-2E0C-4C5E-AE9B-4CDA26119A84}" name="Stress reduction practice "/>
    <tableColumn id="17" xr3:uid="{EE45528C-D159-462D-BE34-510B8EA7C998}" name=" Medical check-ups frequency"/>
    <tableColumn id="18" xr3:uid="{F2754E68-11D9-4E2A-BD7C-9C8A51C1EDD5}" name="BMI"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325840-7603-444F-92D3-FF9B3DA560AF}" name="Table1_2" displayName="Table1_2" ref="A1:T129" tableType="queryTable" totalsRowShown="0">
  <autoFilter ref="A1:T129" xr:uid="{55325840-7603-444F-92D3-FF9B3DA560AF}">
    <filterColumn colId="11">
      <filters>
        <filter val="1-2 days"/>
        <filter val="3-4 days"/>
        <filter val="5-6 days"/>
        <filter val="Daily"/>
        <filter val="Never"/>
      </filters>
    </filterColumn>
  </autoFilter>
  <tableColumns count="20">
    <tableColumn id="1" xr3:uid="{7C493562-383A-4D83-9C25-085898D1B3A8}" uniqueName="1" name="Age Group" queryTableFieldId="1" dataDxfId="14"/>
    <tableColumn id="2" xr3:uid="{D28F4AE5-0048-4545-92A4-FB78B478EFDF}" uniqueName="2" name="Gender" queryTableFieldId="2" dataDxfId="13"/>
    <tableColumn id="3" xr3:uid="{70D5A07E-CB53-43C0-992E-01CB36EE1FCA}" uniqueName="3" name="Height(in cm)" queryTableFieldId="3"/>
    <tableColumn id="4" xr3:uid="{8E00F842-70B9-4EF7-A46A-62D756FFDD7D}" uniqueName="4" name="Weight(in kg)" queryTableFieldId="4"/>
    <tableColumn id="5" xr3:uid="{AC5FEF45-3E28-4400-92DA-E3F6927502B0}" uniqueName="5" name="Type of diet" queryTableFieldId="5" dataDxfId="12"/>
    <tableColumn id="6" xr3:uid="{EF8D1D57-0693-4E6D-95C0-81C325CC4197}" uniqueName="6" name="Oily foods consumption" queryTableFieldId="6" dataDxfId="11"/>
    <tableColumn id="7" xr3:uid="{0F146857-227E-4F8B-BADD-9CFC5AFFB7D0}" uniqueName="7" name="fruits and vegetables consumption frequncy" queryTableFieldId="7" dataDxfId="10"/>
    <tableColumn id="8" xr3:uid="{60B9034B-E0C6-4364-8487-07FAEAD7E410}" uniqueName="8" name="Fast food consumption frequency" queryTableFieldId="8" dataDxfId="9"/>
    <tableColumn id="9" xr3:uid="{1F422C5E-474A-416C-81A4-2FE937FA0F99}" uniqueName="9" name="Sugary products consumption" queryTableFieldId="9" dataDxfId="8"/>
    <tableColumn id="10" xr3:uid="{0F894568-D2EC-4429-81FD-5D4D4FF58FEF}" uniqueName="10" name="Physical activity perform" queryTableFieldId="10" dataDxfId="7"/>
    <tableColumn id="11" xr3:uid="{EED4BE64-6C7F-4ADB-B011-6D0C4660E8CA}" uniqueName="11" name="Type of physical activity" queryTableFieldId="11" dataDxfId="6"/>
    <tableColumn id="12" xr3:uid="{3F2C6ED1-31FB-4699-A9DD-DB612BCFB77A}" uniqueName="12" name="Physical activity frequency" queryTableFieldId="12" dataDxfId="5"/>
    <tableColumn id="13" xr3:uid="{1A73733F-9328-44CE-B3CB-F64FDADECE5C}" uniqueName="13" name="Health issues" queryTableFieldId="13" dataDxfId="4"/>
    <tableColumn id="14" xr3:uid="{2B135ABD-F40E-46F2-B44B-FFA6F9FFF406}" uniqueName="14" name="Sleep duration" queryTableFieldId="14" dataDxfId="3"/>
    <tableColumn id="15" xr3:uid="{D17DD1CC-6ABA-4CEE-9938-1CB695A7A2F5}" uniqueName="15" name="Drinking water per day" queryTableFieldId="15" dataDxfId="2"/>
    <tableColumn id="16" xr3:uid="{728885D4-7C51-4D51-964E-4C205C795AAE}" uniqueName="16" name="Stress reduction practice" queryTableFieldId="16" dataDxfId="1"/>
    <tableColumn id="17" xr3:uid="{57BB835A-B465-48C0-9702-F6B373854D57}" uniqueName="17" name="Medical check-ups frequency" queryTableFieldId="17" dataDxfId="0"/>
    <tableColumn id="18" xr3:uid="{AF96C8EE-5B55-43C6-9CA6-AEB58E593E26}" uniqueName="18" name="BMI" queryTableFieldId="18"/>
    <tableColumn id="19" xr3:uid="{C0C66FB4-D878-4172-A374-EFF4F2990E62}" uniqueName="19" name="BMI_Category" queryTableFieldId="19"/>
    <tableColumn id="20" xr3:uid="{A7AB7D4E-BD85-4F30-A899-021CF081832C}" uniqueName="20" name="Activity_Level"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51685-72B7-4539-9093-D796568E3916}">
  <sheetPr codeName="Sheet1" filterMode="1"/>
  <dimension ref="A1:R297"/>
  <sheetViews>
    <sheetView workbookViewId="0">
      <selection activeCell="E22" sqref="E22"/>
    </sheetView>
  </sheetViews>
  <sheetFormatPr defaultRowHeight="15" x14ac:dyDescent="0.25"/>
  <cols>
    <col min="1" max="1" width="10.140625" customWidth="1"/>
    <col min="3" max="3" width="11.7109375" customWidth="1"/>
    <col min="4" max="4" width="13" customWidth="1"/>
    <col min="5" max="5" width="14.7109375" customWidth="1"/>
    <col min="6" max="6" width="21.85546875" customWidth="1"/>
    <col min="7" max="7" width="45.5703125" bestFit="1" customWidth="1"/>
    <col min="8" max="8" width="32.5703125" customWidth="1"/>
    <col min="9" max="9" width="57" bestFit="1" customWidth="1"/>
    <col min="10" max="10" width="25.7109375" customWidth="1"/>
    <col min="11" max="11" width="22.5703125" customWidth="1"/>
    <col min="12" max="12" width="25.85546875" customWidth="1"/>
    <col min="13" max="13" width="17.85546875" customWidth="1"/>
    <col min="14" max="14" width="15.28515625" customWidth="1"/>
    <col min="15" max="15" width="21.42578125" bestFit="1" customWidth="1"/>
    <col min="16" max="16" width="27" customWidth="1"/>
    <col min="17" max="17" width="17.7109375" customWidth="1"/>
    <col min="18" max="18" width="9.140625" style="1"/>
  </cols>
  <sheetData>
    <row r="1" spans="1:18" x14ac:dyDescent="0.25">
      <c r="A1" t="s">
        <v>106</v>
      </c>
      <c r="B1" t="s">
        <v>107</v>
      </c>
      <c r="C1" t="s">
        <v>0</v>
      </c>
      <c r="D1" t="s">
        <v>1</v>
      </c>
      <c r="E1" t="s">
        <v>108</v>
      </c>
      <c r="F1" t="s">
        <v>109</v>
      </c>
      <c r="G1" t="s">
        <v>118</v>
      </c>
      <c r="H1" t="s">
        <v>119</v>
      </c>
      <c r="I1" t="s">
        <v>110</v>
      </c>
      <c r="J1" t="s">
        <v>120</v>
      </c>
      <c r="K1" t="s">
        <v>111</v>
      </c>
      <c r="L1" t="s">
        <v>112</v>
      </c>
      <c r="M1" t="s">
        <v>113</v>
      </c>
      <c r="N1" t="s">
        <v>114</v>
      </c>
      <c r="O1" t="s">
        <v>115</v>
      </c>
      <c r="P1" t="s">
        <v>116</v>
      </c>
      <c r="Q1" t="s">
        <v>117</v>
      </c>
      <c r="R1" s="1" t="s">
        <v>2</v>
      </c>
    </row>
    <row r="2" spans="1:18" x14ac:dyDescent="0.25">
      <c r="A2" t="s">
        <v>3</v>
      </c>
      <c r="B2" t="s">
        <v>4</v>
      </c>
      <c r="C2">
        <v>165</v>
      </c>
      <c r="D2">
        <v>72</v>
      </c>
      <c r="E2" t="s">
        <v>5</v>
      </c>
      <c r="F2" t="s">
        <v>7</v>
      </c>
      <c r="G2" t="s">
        <v>8</v>
      </c>
      <c r="H2" t="s">
        <v>9</v>
      </c>
      <c r="I2" t="s">
        <v>10</v>
      </c>
      <c r="J2" t="s">
        <v>11</v>
      </c>
      <c r="K2" t="s">
        <v>12</v>
      </c>
      <c r="L2" t="s">
        <v>13</v>
      </c>
      <c r="M2" t="s">
        <v>14</v>
      </c>
      <c r="N2" t="s">
        <v>15</v>
      </c>
      <c r="O2" t="s">
        <v>16</v>
      </c>
      <c r="P2" t="s">
        <v>17</v>
      </c>
      <c r="Q2" t="s">
        <v>18</v>
      </c>
      <c r="R2" s="1">
        <v>26.446280990000002</v>
      </c>
    </row>
    <row r="3" spans="1:18" x14ac:dyDescent="0.25">
      <c r="A3" t="s">
        <v>3</v>
      </c>
      <c r="B3" t="s">
        <v>4</v>
      </c>
      <c r="C3">
        <v>178</v>
      </c>
      <c r="D3">
        <v>60</v>
      </c>
      <c r="E3" t="s">
        <v>5</v>
      </c>
      <c r="F3" t="s">
        <v>11</v>
      </c>
      <c r="G3" t="s">
        <v>20</v>
      </c>
      <c r="H3" t="s">
        <v>21</v>
      </c>
      <c r="I3" t="s">
        <v>22</v>
      </c>
      <c r="J3" t="s">
        <v>23</v>
      </c>
      <c r="K3" t="s">
        <v>12</v>
      </c>
      <c r="L3" t="s">
        <v>24</v>
      </c>
      <c r="M3" t="s">
        <v>14</v>
      </c>
      <c r="N3" t="s">
        <v>15</v>
      </c>
      <c r="O3" t="s">
        <v>16</v>
      </c>
      <c r="P3" t="s">
        <v>25</v>
      </c>
      <c r="Q3" t="s">
        <v>26</v>
      </c>
      <c r="R3" s="1">
        <v>18.9370029</v>
      </c>
    </row>
    <row r="4" spans="1:18" x14ac:dyDescent="0.25">
      <c r="A4" t="s">
        <v>3</v>
      </c>
      <c r="B4" t="s">
        <v>4</v>
      </c>
      <c r="C4">
        <v>176</v>
      </c>
      <c r="D4">
        <v>60</v>
      </c>
      <c r="E4" t="s">
        <v>5</v>
      </c>
      <c r="F4" t="s">
        <v>7</v>
      </c>
      <c r="G4" t="s">
        <v>8</v>
      </c>
      <c r="H4" t="s">
        <v>21</v>
      </c>
      <c r="I4" t="s">
        <v>14</v>
      </c>
      <c r="J4" t="s">
        <v>23</v>
      </c>
      <c r="K4" t="s">
        <v>28</v>
      </c>
      <c r="L4" t="s">
        <v>13</v>
      </c>
      <c r="M4" t="s">
        <v>14</v>
      </c>
      <c r="N4" t="s">
        <v>15</v>
      </c>
      <c r="O4" t="s">
        <v>16</v>
      </c>
      <c r="P4" t="s">
        <v>29</v>
      </c>
      <c r="Q4" t="s">
        <v>26</v>
      </c>
      <c r="R4" s="1">
        <v>19.369834709999999</v>
      </c>
    </row>
    <row r="5" spans="1:18" x14ac:dyDescent="0.25">
      <c r="A5" t="s">
        <v>3</v>
      </c>
      <c r="B5" t="s">
        <v>4</v>
      </c>
      <c r="C5">
        <v>175</v>
      </c>
      <c r="D5">
        <v>75</v>
      </c>
      <c r="E5" t="s">
        <v>5</v>
      </c>
      <c r="F5" t="s">
        <v>7</v>
      </c>
      <c r="G5" t="s">
        <v>8</v>
      </c>
      <c r="H5" t="s">
        <v>30</v>
      </c>
      <c r="I5" t="s">
        <v>121</v>
      </c>
      <c r="J5" t="s">
        <v>11</v>
      </c>
      <c r="K5" t="s">
        <v>31</v>
      </c>
      <c r="L5" t="s">
        <v>32</v>
      </c>
      <c r="M5" t="s">
        <v>33</v>
      </c>
      <c r="N5" t="s">
        <v>15</v>
      </c>
      <c r="O5" t="s">
        <v>34</v>
      </c>
      <c r="P5" t="s">
        <v>35</v>
      </c>
      <c r="Q5" t="s">
        <v>18</v>
      </c>
      <c r="R5" s="1">
        <v>24.489795919999999</v>
      </c>
    </row>
    <row r="6" spans="1:18" x14ac:dyDescent="0.25">
      <c r="A6" t="s">
        <v>3</v>
      </c>
      <c r="B6" t="s">
        <v>36</v>
      </c>
      <c r="C6">
        <v>180</v>
      </c>
      <c r="D6">
        <v>62</v>
      </c>
      <c r="E6" t="s">
        <v>5</v>
      </c>
      <c r="F6" t="s">
        <v>7</v>
      </c>
      <c r="G6" t="s">
        <v>8</v>
      </c>
      <c r="H6" t="s">
        <v>30</v>
      </c>
      <c r="I6" t="s">
        <v>10</v>
      </c>
      <c r="J6" t="s">
        <v>11</v>
      </c>
      <c r="K6" t="s">
        <v>12</v>
      </c>
      <c r="L6" t="s">
        <v>13</v>
      </c>
      <c r="M6" t="s">
        <v>37</v>
      </c>
      <c r="N6" t="s">
        <v>38</v>
      </c>
      <c r="O6" t="s">
        <v>34</v>
      </c>
      <c r="P6" t="s">
        <v>17</v>
      </c>
      <c r="Q6" t="s">
        <v>39</v>
      </c>
      <c r="R6" s="1">
        <v>19.135802470000002</v>
      </c>
    </row>
    <row r="7" spans="1:18" x14ac:dyDescent="0.25">
      <c r="A7" t="s">
        <v>3</v>
      </c>
      <c r="B7" t="s">
        <v>4</v>
      </c>
      <c r="C7">
        <v>172</v>
      </c>
      <c r="D7">
        <v>65</v>
      </c>
      <c r="E7" t="s">
        <v>5</v>
      </c>
      <c r="F7" t="s">
        <v>11</v>
      </c>
      <c r="G7" t="s">
        <v>20</v>
      </c>
      <c r="H7" t="s">
        <v>40</v>
      </c>
      <c r="I7" t="s">
        <v>14</v>
      </c>
      <c r="J7" t="s">
        <v>23</v>
      </c>
      <c r="K7" t="s">
        <v>41</v>
      </c>
      <c r="L7" t="s">
        <v>24</v>
      </c>
      <c r="M7" t="s">
        <v>14</v>
      </c>
      <c r="N7" t="s">
        <v>15</v>
      </c>
      <c r="O7" t="s">
        <v>16</v>
      </c>
      <c r="P7" t="s">
        <v>17</v>
      </c>
      <c r="Q7" t="s">
        <v>42</v>
      </c>
      <c r="R7" s="1">
        <v>21.97133586</v>
      </c>
    </row>
    <row r="8" spans="1:18" x14ac:dyDescent="0.25">
      <c r="A8" t="s">
        <v>3</v>
      </c>
      <c r="B8" t="s">
        <v>4</v>
      </c>
      <c r="C8">
        <v>156</v>
      </c>
      <c r="D8">
        <v>40</v>
      </c>
      <c r="E8" t="s">
        <v>5</v>
      </c>
      <c r="F8" t="s">
        <v>11</v>
      </c>
      <c r="G8" t="s">
        <v>20</v>
      </c>
      <c r="H8" t="s">
        <v>9</v>
      </c>
      <c r="I8" t="s">
        <v>125</v>
      </c>
      <c r="J8" t="s">
        <v>43</v>
      </c>
      <c r="K8" t="s">
        <v>14</v>
      </c>
      <c r="L8" t="s">
        <v>44</v>
      </c>
      <c r="M8" t="s">
        <v>45</v>
      </c>
      <c r="N8" t="s">
        <v>46</v>
      </c>
      <c r="O8" t="s">
        <v>16</v>
      </c>
      <c r="P8" t="s">
        <v>17</v>
      </c>
      <c r="Q8" t="s">
        <v>26</v>
      </c>
      <c r="R8" s="1">
        <v>16.436554900000001</v>
      </c>
    </row>
    <row r="9" spans="1:18" x14ac:dyDescent="0.25">
      <c r="A9" t="s">
        <v>3</v>
      </c>
      <c r="B9" t="s">
        <v>36</v>
      </c>
      <c r="C9">
        <v>156</v>
      </c>
      <c r="D9">
        <v>40</v>
      </c>
      <c r="E9" t="s">
        <v>5</v>
      </c>
      <c r="F9" t="s">
        <v>7</v>
      </c>
      <c r="G9" t="s">
        <v>20</v>
      </c>
      <c r="H9" t="s">
        <v>9</v>
      </c>
      <c r="I9" t="s">
        <v>125</v>
      </c>
      <c r="J9" t="s">
        <v>43</v>
      </c>
      <c r="K9" t="s">
        <v>14</v>
      </c>
      <c r="L9" t="s">
        <v>44</v>
      </c>
      <c r="M9" t="s">
        <v>47</v>
      </c>
      <c r="N9" t="s">
        <v>15</v>
      </c>
      <c r="O9" t="s">
        <v>16</v>
      </c>
      <c r="P9" t="s">
        <v>48</v>
      </c>
      <c r="Q9" t="s">
        <v>26</v>
      </c>
      <c r="R9" s="1">
        <v>16.436554900000001</v>
      </c>
    </row>
    <row r="10" spans="1:18" x14ac:dyDescent="0.25">
      <c r="A10" t="s">
        <v>3</v>
      </c>
      <c r="B10" t="s">
        <v>36</v>
      </c>
      <c r="C10">
        <v>165</v>
      </c>
      <c r="D10">
        <v>70</v>
      </c>
      <c r="E10" t="s">
        <v>5</v>
      </c>
      <c r="F10" t="s">
        <v>6</v>
      </c>
      <c r="G10" t="s">
        <v>20</v>
      </c>
      <c r="H10" t="s">
        <v>9</v>
      </c>
      <c r="I10" t="s">
        <v>125</v>
      </c>
      <c r="J10" t="s">
        <v>43</v>
      </c>
      <c r="K10" t="s">
        <v>14</v>
      </c>
      <c r="L10" t="s">
        <v>44</v>
      </c>
      <c r="M10" t="s">
        <v>45</v>
      </c>
      <c r="N10" t="s">
        <v>15</v>
      </c>
      <c r="O10" t="s">
        <v>16</v>
      </c>
      <c r="P10" t="s">
        <v>49</v>
      </c>
      <c r="Q10" t="s">
        <v>26</v>
      </c>
      <c r="R10" s="1">
        <v>25.71166208</v>
      </c>
    </row>
    <row r="11" spans="1:18" x14ac:dyDescent="0.25">
      <c r="A11" t="s">
        <v>3</v>
      </c>
      <c r="B11" t="s">
        <v>36</v>
      </c>
      <c r="C11">
        <v>165</v>
      </c>
      <c r="D11">
        <v>68</v>
      </c>
      <c r="E11" t="s">
        <v>5</v>
      </c>
      <c r="F11" t="s">
        <v>6</v>
      </c>
      <c r="G11" t="s">
        <v>20</v>
      </c>
      <c r="H11" t="s">
        <v>9</v>
      </c>
      <c r="I11" t="s">
        <v>125</v>
      </c>
      <c r="J11" t="s">
        <v>23</v>
      </c>
      <c r="K11" t="s">
        <v>50</v>
      </c>
      <c r="L11" t="s">
        <v>32</v>
      </c>
      <c r="M11" t="s">
        <v>51</v>
      </c>
      <c r="N11" t="s">
        <v>15</v>
      </c>
      <c r="O11" t="s">
        <v>16</v>
      </c>
      <c r="P11" t="s">
        <v>25</v>
      </c>
      <c r="Q11" t="s">
        <v>26</v>
      </c>
      <c r="R11" s="1">
        <v>24.977043160000001</v>
      </c>
    </row>
    <row r="12" spans="1:18" x14ac:dyDescent="0.25">
      <c r="A12" t="s">
        <v>3</v>
      </c>
      <c r="B12" t="s">
        <v>36</v>
      </c>
      <c r="C12">
        <v>167</v>
      </c>
      <c r="D12">
        <v>57</v>
      </c>
      <c r="E12" t="s">
        <v>5</v>
      </c>
      <c r="F12" t="s">
        <v>11</v>
      </c>
      <c r="G12" t="s">
        <v>20</v>
      </c>
      <c r="H12" t="s">
        <v>44</v>
      </c>
      <c r="I12" t="s">
        <v>22</v>
      </c>
      <c r="J12" t="s">
        <v>23</v>
      </c>
      <c r="K12" t="s">
        <v>52</v>
      </c>
      <c r="L12" t="s">
        <v>19</v>
      </c>
      <c r="M12" t="s">
        <v>53</v>
      </c>
      <c r="N12" t="s">
        <v>46</v>
      </c>
      <c r="O12" t="s">
        <v>16</v>
      </c>
      <c r="P12" t="s">
        <v>25</v>
      </c>
      <c r="Q12" t="s">
        <v>26</v>
      </c>
      <c r="R12" s="1">
        <v>20.43816558</v>
      </c>
    </row>
    <row r="13" spans="1:18" x14ac:dyDescent="0.25">
      <c r="A13" t="s">
        <v>3</v>
      </c>
      <c r="B13" t="s">
        <v>4</v>
      </c>
      <c r="C13">
        <v>170</v>
      </c>
      <c r="D13">
        <v>55</v>
      </c>
      <c r="E13" t="s">
        <v>5</v>
      </c>
      <c r="F13" t="s">
        <v>11</v>
      </c>
      <c r="G13" t="s">
        <v>20</v>
      </c>
      <c r="H13" t="s">
        <v>30</v>
      </c>
      <c r="I13" t="s">
        <v>22</v>
      </c>
      <c r="J13" t="s">
        <v>23</v>
      </c>
      <c r="K13" t="s">
        <v>52</v>
      </c>
      <c r="L13" t="s">
        <v>19</v>
      </c>
      <c r="M13" t="s">
        <v>14</v>
      </c>
      <c r="N13" t="s">
        <v>46</v>
      </c>
      <c r="O13" t="s">
        <v>16</v>
      </c>
      <c r="P13" t="s">
        <v>25</v>
      </c>
      <c r="Q13" t="s">
        <v>26</v>
      </c>
      <c r="R13" s="1">
        <v>19.031141869999999</v>
      </c>
    </row>
    <row r="14" spans="1:18" x14ac:dyDescent="0.25">
      <c r="A14" t="s">
        <v>3</v>
      </c>
      <c r="B14" t="s">
        <v>4</v>
      </c>
      <c r="C14">
        <v>175</v>
      </c>
      <c r="D14">
        <v>67</v>
      </c>
      <c r="E14" t="s">
        <v>5</v>
      </c>
      <c r="F14" t="s">
        <v>11</v>
      </c>
      <c r="G14" t="s">
        <v>20</v>
      </c>
      <c r="H14" t="s">
        <v>30</v>
      </c>
      <c r="I14" t="s">
        <v>22</v>
      </c>
      <c r="J14" t="s">
        <v>23</v>
      </c>
      <c r="K14" t="s">
        <v>52</v>
      </c>
      <c r="L14" t="s">
        <v>19</v>
      </c>
      <c r="M14" t="s">
        <v>14</v>
      </c>
      <c r="N14" t="s">
        <v>15</v>
      </c>
      <c r="O14" t="s">
        <v>16</v>
      </c>
      <c r="P14" t="s">
        <v>25</v>
      </c>
      <c r="Q14" t="s">
        <v>26</v>
      </c>
      <c r="R14" s="1">
        <v>21.877551019999999</v>
      </c>
    </row>
    <row r="15" spans="1:18" x14ac:dyDescent="0.25">
      <c r="A15" t="s">
        <v>3</v>
      </c>
      <c r="B15" t="s">
        <v>4</v>
      </c>
      <c r="C15">
        <v>176</v>
      </c>
      <c r="D15">
        <v>88</v>
      </c>
      <c r="E15" t="s">
        <v>54</v>
      </c>
      <c r="F15" t="s">
        <v>7</v>
      </c>
      <c r="G15" t="s">
        <v>19</v>
      </c>
      <c r="H15" t="s">
        <v>30</v>
      </c>
      <c r="I15" t="s">
        <v>132</v>
      </c>
      <c r="J15" t="s">
        <v>23</v>
      </c>
      <c r="K15" t="s">
        <v>52</v>
      </c>
      <c r="L15" t="s">
        <v>24</v>
      </c>
      <c r="M15" t="s">
        <v>14</v>
      </c>
      <c r="N15" t="s">
        <v>15</v>
      </c>
      <c r="O15" t="s">
        <v>16</v>
      </c>
      <c r="P15" t="s">
        <v>17</v>
      </c>
      <c r="Q15" t="s">
        <v>42</v>
      </c>
      <c r="R15" s="1">
        <v>28.40909091</v>
      </c>
    </row>
    <row r="16" spans="1:18" x14ac:dyDescent="0.25">
      <c r="A16" t="s">
        <v>3</v>
      </c>
      <c r="B16" t="s">
        <v>4</v>
      </c>
      <c r="C16">
        <v>167</v>
      </c>
      <c r="D16">
        <v>70</v>
      </c>
      <c r="E16" t="s">
        <v>54</v>
      </c>
      <c r="F16" t="s">
        <v>11</v>
      </c>
      <c r="G16" t="s">
        <v>8</v>
      </c>
      <c r="H16" t="s">
        <v>30</v>
      </c>
      <c r="I16" t="s">
        <v>22</v>
      </c>
      <c r="J16" t="s">
        <v>23</v>
      </c>
      <c r="K16" t="s">
        <v>28</v>
      </c>
      <c r="L16" t="s">
        <v>24</v>
      </c>
      <c r="M16" t="s">
        <v>14</v>
      </c>
      <c r="N16" t="s">
        <v>15</v>
      </c>
      <c r="O16" t="s">
        <v>55</v>
      </c>
      <c r="P16" t="s">
        <v>25</v>
      </c>
      <c r="Q16" t="s">
        <v>26</v>
      </c>
      <c r="R16" s="1">
        <v>25.0995016</v>
      </c>
    </row>
    <row r="17" spans="1:18" x14ac:dyDescent="0.25">
      <c r="A17" t="s">
        <v>3</v>
      </c>
      <c r="B17" t="s">
        <v>4</v>
      </c>
      <c r="C17">
        <v>186</v>
      </c>
      <c r="D17">
        <v>84</v>
      </c>
      <c r="E17" t="s">
        <v>54</v>
      </c>
      <c r="F17" t="s">
        <v>7</v>
      </c>
      <c r="G17" t="s">
        <v>19</v>
      </c>
      <c r="H17" t="s">
        <v>30</v>
      </c>
      <c r="I17" t="s">
        <v>56</v>
      </c>
      <c r="J17" t="s">
        <v>23</v>
      </c>
      <c r="K17" t="s">
        <v>57</v>
      </c>
      <c r="L17" t="s">
        <v>19</v>
      </c>
      <c r="M17" t="s">
        <v>14</v>
      </c>
      <c r="N17" t="s">
        <v>15</v>
      </c>
      <c r="O17" t="s">
        <v>16</v>
      </c>
      <c r="P17" t="s">
        <v>17</v>
      </c>
      <c r="Q17" t="s">
        <v>44</v>
      </c>
      <c r="R17" s="1">
        <v>24.280263609999999</v>
      </c>
    </row>
    <row r="18" spans="1:18" x14ac:dyDescent="0.25">
      <c r="A18" t="s">
        <v>3</v>
      </c>
      <c r="B18" t="s">
        <v>4</v>
      </c>
      <c r="C18">
        <v>165</v>
      </c>
      <c r="D18">
        <v>86</v>
      </c>
      <c r="E18" t="s">
        <v>54</v>
      </c>
      <c r="F18" t="s">
        <v>7</v>
      </c>
      <c r="G18" t="s">
        <v>8</v>
      </c>
      <c r="H18" t="s">
        <v>9</v>
      </c>
      <c r="I18" t="s">
        <v>133</v>
      </c>
      <c r="J18" t="s">
        <v>23</v>
      </c>
      <c r="K18" t="s">
        <v>28</v>
      </c>
      <c r="L18" t="s">
        <v>32</v>
      </c>
      <c r="M18" t="s">
        <v>53</v>
      </c>
      <c r="N18" t="s">
        <v>15</v>
      </c>
      <c r="O18" t="s">
        <v>55</v>
      </c>
      <c r="P18" t="s">
        <v>17</v>
      </c>
      <c r="Q18" t="s">
        <v>44</v>
      </c>
      <c r="R18" s="1">
        <v>31.588613410000001</v>
      </c>
    </row>
    <row r="19" spans="1:18" x14ac:dyDescent="0.25">
      <c r="A19" t="s">
        <v>3</v>
      </c>
      <c r="B19" t="s">
        <v>4</v>
      </c>
      <c r="C19">
        <v>176</v>
      </c>
      <c r="D19">
        <v>88</v>
      </c>
      <c r="E19" t="s">
        <v>54</v>
      </c>
      <c r="F19" t="s">
        <v>7</v>
      </c>
      <c r="G19" t="s">
        <v>19</v>
      </c>
      <c r="H19" t="s">
        <v>30</v>
      </c>
      <c r="I19" t="s">
        <v>134</v>
      </c>
      <c r="J19" t="s">
        <v>23</v>
      </c>
      <c r="K19" t="s">
        <v>28</v>
      </c>
      <c r="L19" t="s">
        <v>19</v>
      </c>
      <c r="M19" t="s">
        <v>14</v>
      </c>
      <c r="N19" t="s">
        <v>15</v>
      </c>
      <c r="O19" t="s">
        <v>16</v>
      </c>
      <c r="P19" t="s">
        <v>17</v>
      </c>
      <c r="Q19" t="s">
        <v>26</v>
      </c>
      <c r="R19" s="1">
        <v>28.40909091</v>
      </c>
    </row>
    <row r="20" spans="1:18" x14ac:dyDescent="0.25">
      <c r="A20" t="s">
        <v>3</v>
      </c>
      <c r="B20" t="s">
        <v>4</v>
      </c>
      <c r="C20">
        <v>165</v>
      </c>
      <c r="D20">
        <v>65</v>
      </c>
      <c r="E20" t="s">
        <v>54</v>
      </c>
      <c r="F20" t="s">
        <v>7</v>
      </c>
      <c r="G20" t="s">
        <v>19</v>
      </c>
      <c r="H20" t="s">
        <v>21</v>
      </c>
      <c r="I20" t="s">
        <v>136</v>
      </c>
      <c r="J20" t="s">
        <v>23</v>
      </c>
      <c r="K20" t="s">
        <v>52</v>
      </c>
      <c r="L20" t="s">
        <v>19</v>
      </c>
      <c r="M20" t="s">
        <v>33</v>
      </c>
      <c r="N20" t="s">
        <v>38</v>
      </c>
      <c r="O20" t="s">
        <v>58</v>
      </c>
      <c r="P20" t="s">
        <v>35</v>
      </c>
      <c r="Q20" t="s">
        <v>26</v>
      </c>
      <c r="R20" s="1">
        <v>23.875114780000001</v>
      </c>
    </row>
    <row r="21" spans="1:18" x14ac:dyDescent="0.25">
      <c r="A21" t="s">
        <v>3</v>
      </c>
      <c r="B21" t="s">
        <v>4</v>
      </c>
      <c r="C21">
        <v>167.5</v>
      </c>
      <c r="D21">
        <v>63</v>
      </c>
      <c r="E21" t="s">
        <v>54</v>
      </c>
      <c r="F21" t="s">
        <v>11</v>
      </c>
      <c r="G21" t="s">
        <v>19</v>
      </c>
      <c r="H21" t="s">
        <v>30</v>
      </c>
      <c r="I21" t="s">
        <v>137</v>
      </c>
      <c r="J21" t="s">
        <v>23</v>
      </c>
      <c r="K21" t="s">
        <v>59</v>
      </c>
      <c r="L21" t="s">
        <v>24</v>
      </c>
      <c r="M21" t="s">
        <v>14</v>
      </c>
      <c r="N21" t="s">
        <v>15</v>
      </c>
      <c r="O21" t="s">
        <v>34</v>
      </c>
      <c r="P21" t="s">
        <v>17</v>
      </c>
      <c r="Q21" t="s">
        <v>42</v>
      </c>
      <c r="R21" s="1">
        <v>22.454889730000001</v>
      </c>
    </row>
    <row r="22" spans="1:18" x14ac:dyDescent="0.25">
      <c r="A22" t="s">
        <v>3</v>
      </c>
      <c r="B22" t="s">
        <v>4</v>
      </c>
      <c r="C22">
        <v>180</v>
      </c>
      <c r="D22">
        <v>90</v>
      </c>
      <c r="E22" t="s">
        <v>54</v>
      </c>
      <c r="F22" t="s">
        <v>7</v>
      </c>
      <c r="G22" t="s">
        <v>20</v>
      </c>
      <c r="H22" t="s">
        <v>30</v>
      </c>
      <c r="I22" t="s">
        <v>135</v>
      </c>
      <c r="J22" t="s">
        <v>23</v>
      </c>
      <c r="K22" t="s">
        <v>12</v>
      </c>
      <c r="L22" t="s">
        <v>32</v>
      </c>
      <c r="M22" t="s">
        <v>14</v>
      </c>
      <c r="N22" t="s">
        <v>15</v>
      </c>
      <c r="O22" t="s">
        <v>55</v>
      </c>
      <c r="P22" t="s">
        <v>17</v>
      </c>
      <c r="Q22" t="s">
        <v>26</v>
      </c>
      <c r="R22" s="1">
        <v>27.777777780000001</v>
      </c>
    </row>
    <row r="23" spans="1:18" x14ac:dyDescent="0.25">
      <c r="A23" t="s">
        <v>3</v>
      </c>
      <c r="B23" t="s">
        <v>36</v>
      </c>
      <c r="C23">
        <v>162</v>
      </c>
      <c r="D23">
        <v>43</v>
      </c>
      <c r="E23" t="s">
        <v>54</v>
      </c>
      <c r="F23" t="s">
        <v>7</v>
      </c>
      <c r="G23" t="s">
        <v>8</v>
      </c>
      <c r="H23" t="s">
        <v>30</v>
      </c>
      <c r="I23" t="s">
        <v>10</v>
      </c>
      <c r="J23" t="s">
        <v>43</v>
      </c>
      <c r="K23" t="s">
        <v>12</v>
      </c>
      <c r="L23" t="s">
        <v>13</v>
      </c>
      <c r="M23" t="s">
        <v>60</v>
      </c>
      <c r="N23" t="s">
        <v>38</v>
      </c>
      <c r="O23" t="s">
        <v>34</v>
      </c>
      <c r="P23" t="s">
        <v>17</v>
      </c>
      <c r="Q23" t="s">
        <v>44</v>
      </c>
      <c r="R23" s="1">
        <v>16.384697450000001</v>
      </c>
    </row>
    <row r="24" spans="1:18" x14ac:dyDescent="0.25">
      <c r="A24" t="s">
        <v>3</v>
      </c>
      <c r="B24" t="s">
        <v>4</v>
      </c>
      <c r="C24">
        <v>180</v>
      </c>
      <c r="D24">
        <v>82</v>
      </c>
      <c r="E24" t="s">
        <v>54</v>
      </c>
      <c r="F24" t="s">
        <v>19</v>
      </c>
      <c r="G24" t="s">
        <v>11</v>
      </c>
      <c r="H24" t="s">
        <v>40</v>
      </c>
      <c r="I24" t="s">
        <v>14</v>
      </c>
      <c r="J24" t="s">
        <v>43</v>
      </c>
      <c r="K24" t="s">
        <v>14</v>
      </c>
      <c r="L24" t="s">
        <v>44</v>
      </c>
      <c r="M24" t="s">
        <v>14</v>
      </c>
      <c r="N24" t="s">
        <v>46</v>
      </c>
      <c r="O24" t="s">
        <v>16</v>
      </c>
      <c r="P24" t="s">
        <v>17</v>
      </c>
      <c r="Q24" t="s">
        <v>44</v>
      </c>
      <c r="R24" s="1">
        <v>25.308641980000001</v>
      </c>
    </row>
    <row r="25" spans="1:18" x14ac:dyDescent="0.25">
      <c r="A25" t="s">
        <v>3</v>
      </c>
      <c r="B25" t="s">
        <v>4</v>
      </c>
      <c r="C25">
        <v>170</v>
      </c>
      <c r="D25">
        <v>56</v>
      </c>
      <c r="E25" t="s">
        <v>54</v>
      </c>
      <c r="F25" t="s">
        <v>11</v>
      </c>
      <c r="G25" t="s">
        <v>20</v>
      </c>
      <c r="H25" t="s">
        <v>21</v>
      </c>
      <c r="I25" t="s">
        <v>22</v>
      </c>
      <c r="J25" t="s">
        <v>43</v>
      </c>
      <c r="K25" t="s">
        <v>14</v>
      </c>
      <c r="L25" t="s">
        <v>44</v>
      </c>
      <c r="M25" t="s">
        <v>47</v>
      </c>
      <c r="N25" t="s">
        <v>15</v>
      </c>
      <c r="O25" t="s">
        <v>55</v>
      </c>
      <c r="P25" t="s">
        <v>48</v>
      </c>
      <c r="Q25" t="s">
        <v>26</v>
      </c>
      <c r="R25" s="1">
        <v>19.377162630000001</v>
      </c>
    </row>
    <row r="26" spans="1:18" x14ac:dyDescent="0.25">
      <c r="A26" t="s">
        <v>3</v>
      </c>
      <c r="B26" t="s">
        <v>4</v>
      </c>
      <c r="C26">
        <v>165</v>
      </c>
      <c r="D26">
        <v>54</v>
      </c>
      <c r="E26" t="s">
        <v>54</v>
      </c>
      <c r="F26" t="s">
        <v>19</v>
      </c>
      <c r="G26" t="s">
        <v>8</v>
      </c>
      <c r="H26" t="s">
        <v>21</v>
      </c>
      <c r="I26" t="s">
        <v>10</v>
      </c>
      <c r="J26" t="s">
        <v>23</v>
      </c>
      <c r="K26" t="s">
        <v>61</v>
      </c>
      <c r="L26" t="s">
        <v>32</v>
      </c>
      <c r="M26" t="s">
        <v>47</v>
      </c>
      <c r="N26" t="s">
        <v>38</v>
      </c>
      <c r="O26" t="s">
        <v>34</v>
      </c>
      <c r="P26" t="s">
        <v>17</v>
      </c>
      <c r="Q26" t="s">
        <v>42</v>
      </c>
      <c r="R26" s="1">
        <v>19.834710739999998</v>
      </c>
    </row>
    <row r="27" spans="1:18" x14ac:dyDescent="0.25">
      <c r="A27" t="s">
        <v>3</v>
      </c>
      <c r="B27" t="s">
        <v>4</v>
      </c>
      <c r="C27">
        <v>184</v>
      </c>
      <c r="D27">
        <v>61</v>
      </c>
      <c r="E27" t="s">
        <v>54</v>
      </c>
      <c r="F27" t="s">
        <v>6</v>
      </c>
      <c r="G27" t="s">
        <v>20</v>
      </c>
      <c r="H27" t="s">
        <v>21</v>
      </c>
      <c r="I27" t="s">
        <v>10</v>
      </c>
      <c r="J27" t="s">
        <v>23</v>
      </c>
      <c r="K27" t="s">
        <v>62</v>
      </c>
      <c r="L27" t="s">
        <v>13</v>
      </c>
      <c r="M27" t="s">
        <v>63</v>
      </c>
      <c r="N27" t="s">
        <v>38</v>
      </c>
      <c r="O27" t="s">
        <v>16</v>
      </c>
      <c r="P27" t="s">
        <v>17</v>
      </c>
      <c r="Q27" t="s">
        <v>26</v>
      </c>
      <c r="R27" s="1">
        <v>18.017485820000001</v>
      </c>
    </row>
    <row r="28" spans="1:18" x14ac:dyDescent="0.25">
      <c r="A28" t="s">
        <v>3</v>
      </c>
      <c r="B28" t="s">
        <v>36</v>
      </c>
      <c r="C28">
        <v>168</v>
      </c>
      <c r="D28">
        <v>64</v>
      </c>
      <c r="E28" t="s">
        <v>54</v>
      </c>
      <c r="F28" t="s">
        <v>11</v>
      </c>
      <c r="G28" t="s">
        <v>20</v>
      </c>
      <c r="H28" t="s">
        <v>40</v>
      </c>
      <c r="I28" t="s">
        <v>14</v>
      </c>
      <c r="J28" t="s">
        <v>23</v>
      </c>
      <c r="K28" t="s">
        <v>28</v>
      </c>
      <c r="L28" t="s">
        <v>24</v>
      </c>
      <c r="M28" t="s">
        <v>14</v>
      </c>
      <c r="N28" t="s">
        <v>15</v>
      </c>
      <c r="O28" t="s">
        <v>55</v>
      </c>
      <c r="P28" t="s">
        <v>48</v>
      </c>
      <c r="Q28" t="s">
        <v>39</v>
      </c>
      <c r="R28" s="1">
        <v>22.675736959999998</v>
      </c>
    </row>
    <row r="29" spans="1:18" x14ac:dyDescent="0.25">
      <c r="A29" t="s">
        <v>3</v>
      </c>
      <c r="B29" t="s">
        <v>4</v>
      </c>
      <c r="C29">
        <v>164</v>
      </c>
      <c r="D29">
        <v>68</v>
      </c>
      <c r="E29" t="s">
        <v>54</v>
      </c>
      <c r="F29" t="s">
        <v>11</v>
      </c>
      <c r="G29" t="s">
        <v>20</v>
      </c>
      <c r="H29" t="s">
        <v>21</v>
      </c>
      <c r="I29" t="s">
        <v>22</v>
      </c>
      <c r="J29" t="s">
        <v>23</v>
      </c>
      <c r="K29" t="s">
        <v>52</v>
      </c>
      <c r="L29" t="s">
        <v>19</v>
      </c>
      <c r="M29" t="s">
        <v>14</v>
      </c>
      <c r="N29" t="s">
        <v>15</v>
      </c>
      <c r="O29" t="s">
        <v>16</v>
      </c>
      <c r="P29" t="s">
        <v>48</v>
      </c>
      <c r="Q29" t="s">
        <v>26</v>
      </c>
      <c r="R29" s="1">
        <v>25.282569899999999</v>
      </c>
    </row>
    <row r="30" spans="1:18" x14ac:dyDescent="0.25">
      <c r="A30" t="s">
        <v>3</v>
      </c>
      <c r="B30" t="s">
        <v>4</v>
      </c>
      <c r="C30">
        <v>171</v>
      </c>
      <c r="D30">
        <v>65</v>
      </c>
      <c r="E30" t="s">
        <v>54</v>
      </c>
      <c r="F30" t="s">
        <v>11</v>
      </c>
      <c r="G30" t="s">
        <v>20</v>
      </c>
      <c r="H30" t="s">
        <v>21</v>
      </c>
      <c r="I30" t="s">
        <v>137</v>
      </c>
      <c r="J30" t="s">
        <v>23</v>
      </c>
      <c r="K30" t="s">
        <v>52</v>
      </c>
      <c r="L30" t="s">
        <v>19</v>
      </c>
      <c r="M30" t="s">
        <v>14</v>
      </c>
      <c r="N30" t="s">
        <v>46</v>
      </c>
      <c r="O30" t="s">
        <v>16</v>
      </c>
      <c r="P30" t="s">
        <v>49</v>
      </c>
      <c r="Q30" t="s">
        <v>26</v>
      </c>
      <c r="R30" s="1">
        <v>22.038567489999998</v>
      </c>
    </row>
    <row r="31" spans="1:18" x14ac:dyDescent="0.25">
      <c r="A31" t="s">
        <v>3</v>
      </c>
      <c r="B31" t="s">
        <v>4</v>
      </c>
      <c r="C31">
        <v>175</v>
      </c>
      <c r="D31">
        <v>75</v>
      </c>
      <c r="E31" t="s">
        <v>54</v>
      </c>
      <c r="F31" t="s">
        <v>44</v>
      </c>
      <c r="G31" t="s">
        <v>20</v>
      </c>
      <c r="H31" t="s">
        <v>44</v>
      </c>
      <c r="I31" t="s">
        <v>14</v>
      </c>
      <c r="J31" t="s">
        <v>23</v>
      </c>
      <c r="K31" t="s">
        <v>52</v>
      </c>
      <c r="L31" t="s">
        <v>19</v>
      </c>
      <c r="M31" t="s">
        <v>14</v>
      </c>
      <c r="N31" t="s">
        <v>46</v>
      </c>
      <c r="O31" t="s">
        <v>16</v>
      </c>
      <c r="P31" t="s">
        <v>25</v>
      </c>
      <c r="Q31" t="s">
        <v>26</v>
      </c>
      <c r="R31" s="1">
        <v>20.761245670000001</v>
      </c>
    </row>
    <row r="32" spans="1:18" x14ac:dyDescent="0.25">
      <c r="A32" t="s">
        <v>3</v>
      </c>
      <c r="B32" t="s">
        <v>4</v>
      </c>
      <c r="C32">
        <v>176</v>
      </c>
      <c r="D32">
        <v>56</v>
      </c>
      <c r="E32" t="s">
        <v>54</v>
      </c>
      <c r="F32" t="s">
        <v>11</v>
      </c>
      <c r="G32" t="s">
        <v>20</v>
      </c>
      <c r="H32" t="s">
        <v>40</v>
      </c>
      <c r="I32" t="s">
        <v>22</v>
      </c>
      <c r="J32" t="s">
        <v>23</v>
      </c>
      <c r="K32" t="s">
        <v>52</v>
      </c>
      <c r="L32" t="s">
        <v>19</v>
      </c>
      <c r="M32" t="s">
        <v>37</v>
      </c>
      <c r="N32" t="s">
        <v>38</v>
      </c>
      <c r="O32" t="s">
        <v>16</v>
      </c>
      <c r="P32" t="s">
        <v>25</v>
      </c>
      <c r="Q32" t="s">
        <v>26</v>
      </c>
      <c r="R32" s="1">
        <v>20.569329660000001</v>
      </c>
    </row>
    <row r="33" spans="1:18" x14ac:dyDescent="0.25">
      <c r="A33" t="s">
        <v>3</v>
      </c>
      <c r="B33" t="s">
        <v>36</v>
      </c>
      <c r="C33">
        <v>165</v>
      </c>
      <c r="D33">
        <v>56</v>
      </c>
      <c r="E33" t="s">
        <v>54</v>
      </c>
      <c r="F33" t="s">
        <v>6</v>
      </c>
      <c r="G33" t="s">
        <v>20</v>
      </c>
      <c r="H33" t="s">
        <v>40</v>
      </c>
      <c r="I33" t="s">
        <v>22</v>
      </c>
      <c r="J33" t="s">
        <v>23</v>
      </c>
      <c r="K33" t="s">
        <v>62</v>
      </c>
      <c r="L33" t="s">
        <v>32</v>
      </c>
      <c r="M33" t="s">
        <v>45</v>
      </c>
      <c r="N33" t="s">
        <v>15</v>
      </c>
      <c r="O33" t="s">
        <v>16</v>
      </c>
      <c r="P33" t="s">
        <v>48</v>
      </c>
      <c r="Q33" t="s">
        <v>26</v>
      </c>
      <c r="R33" s="1">
        <v>20.569329660000001</v>
      </c>
    </row>
    <row r="34" spans="1:18" x14ac:dyDescent="0.25">
      <c r="A34" t="s">
        <v>3</v>
      </c>
      <c r="B34" t="s">
        <v>4</v>
      </c>
      <c r="C34">
        <v>168</v>
      </c>
      <c r="D34">
        <v>60</v>
      </c>
      <c r="E34" t="s">
        <v>54</v>
      </c>
      <c r="F34" t="s">
        <v>44</v>
      </c>
      <c r="G34" t="s">
        <v>20</v>
      </c>
      <c r="H34" t="s">
        <v>44</v>
      </c>
      <c r="I34" t="s">
        <v>22</v>
      </c>
      <c r="J34" t="s">
        <v>23</v>
      </c>
      <c r="K34" t="s">
        <v>52</v>
      </c>
      <c r="L34" t="s">
        <v>19</v>
      </c>
      <c r="M34" t="s">
        <v>14</v>
      </c>
      <c r="N34" t="s">
        <v>46</v>
      </c>
      <c r="O34" t="s">
        <v>16</v>
      </c>
      <c r="P34" t="s">
        <v>25</v>
      </c>
      <c r="Q34" t="s">
        <v>26</v>
      </c>
      <c r="R34" s="1">
        <v>24.933720489999999</v>
      </c>
    </row>
    <row r="35" spans="1:18" x14ac:dyDescent="0.25">
      <c r="A35" t="s">
        <v>3</v>
      </c>
      <c r="B35" t="s">
        <v>4</v>
      </c>
      <c r="C35">
        <v>178</v>
      </c>
      <c r="D35">
        <v>79</v>
      </c>
      <c r="E35" t="s">
        <v>54</v>
      </c>
      <c r="F35" t="s">
        <v>11</v>
      </c>
      <c r="G35" t="s">
        <v>20</v>
      </c>
      <c r="H35" t="s">
        <v>40</v>
      </c>
      <c r="I35" t="s">
        <v>22</v>
      </c>
      <c r="J35" t="s">
        <v>23</v>
      </c>
      <c r="K35" t="s">
        <v>52</v>
      </c>
      <c r="L35" t="s">
        <v>19</v>
      </c>
      <c r="M35" t="s">
        <v>47</v>
      </c>
      <c r="N35" t="s">
        <v>46</v>
      </c>
      <c r="O35" t="s">
        <v>16</v>
      </c>
      <c r="P35" t="s">
        <v>25</v>
      </c>
      <c r="Q35" t="s">
        <v>26</v>
      </c>
      <c r="R35" s="1">
        <v>29.74419988</v>
      </c>
    </row>
    <row r="36" spans="1:18" x14ac:dyDescent="0.25">
      <c r="A36" t="s">
        <v>3</v>
      </c>
      <c r="B36" t="s">
        <v>4</v>
      </c>
      <c r="C36">
        <v>165</v>
      </c>
      <c r="D36">
        <v>54</v>
      </c>
      <c r="E36" t="s">
        <v>54</v>
      </c>
      <c r="F36" t="s">
        <v>7</v>
      </c>
      <c r="G36" t="s">
        <v>20</v>
      </c>
      <c r="H36" t="s">
        <v>30</v>
      </c>
      <c r="I36" t="s">
        <v>22</v>
      </c>
      <c r="J36" t="s">
        <v>23</v>
      </c>
      <c r="K36" t="s">
        <v>61</v>
      </c>
      <c r="L36" t="s">
        <v>32</v>
      </c>
      <c r="M36" t="s">
        <v>64</v>
      </c>
      <c r="N36" t="s">
        <v>38</v>
      </c>
      <c r="O36" t="s">
        <v>34</v>
      </c>
      <c r="P36" t="s">
        <v>17</v>
      </c>
      <c r="Q36" t="s">
        <v>42</v>
      </c>
      <c r="R36" s="1">
        <v>19.045073339999998</v>
      </c>
    </row>
    <row r="37" spans="1:18" x14ac:dyDescent="0.25">
      <c r="A37" t="s">
        <v>3</v>
      </c>
      <c r="B37" t="s">
        <v>4</v>
      </c>
      <c r="C37">
        <v>173</v>
      </c>
      <c r="D37">
        <v>57</v>
      </c>
      <c r="E37" t="s">
        <v>54</v>
      </c>
      <c r="F37" t="s">
        <v>19</v>
      </c>
      <c r="G37" t="s">
        <v>19</v>
      </c>
      <c r="H37" t="s">
        <v>21</v>
      </c>
      <c r="I37" t="s">
        <v>10</v>
      </c>
      <c r="J37" t="s">
        <v>23</v>
      </c>
      <c r="K37" t="s">
        <v>62</v>
      </c>
      <c r="L37" t="s">
        <v>19</v>
      </c>
      <c r="M37" t="s">
        <v>51</v>
      </c>
      <c r="N37" t="s">
        <v>65</v>
      </c>
      <c r="O37" t="s">
        <v>34</v>
      </c>
      <c r="P37" t="s">
        <v>25</v>
      </c>
      <c r="Q37" t="s">
        <v>42</v>
      </c>
      <c r="R37" s="1">
        <v>22.038567489999998</v>
      </c>
    </row>
    <row r="38" spans="1:18" x14ac:dyDescent="0.25">
      <c r="A38" t="s">
        <v>3</v>
      </c>
      <c r="B38" t="s">
        <v>4</v>
      </c>
      <c r="C38">
        <v>174</v>
      </c>
      <c r="D38">
        <v>54</v>
      </c>
      <c r="E38" t="s">
        <v>66</v>
      </c>
      <c r="F38" t="s">
        <v>7</v>
      </c>
      <c r="G38" t="s">
        <v>8</v>
      </c>
      <c r="H38" t="s">
        <v>21</v>
      </c>
      <c r="I38" t="s">
        <v>126</v>
      </c>
      <c r="J38" t="s">
        <v>11</v>
      </c>
      <c r="K38" t="s">
        <v>12</v>
      </c>
      <c r="L38" t="s">
        <v>32</v>
      </c>
      <c r="M38" t="s">
        <v>64</v>
      </c>
      <c r="N38" t="s">
        <v>38</v>
      </c>
      <c r="O38" t="s">
        <v>34</v>
      </c>
      <c r="P38" t="s">
        <v>17</v>
      </c>
      <c r="Q38" t="s">
        <v>18</v>
      </c>
      <c r="R38" s="1">
        <v>19.377162630000001</v>
      </c>
    </row>
    <row r="39" spans="1:18" x14ac:dyDescent="0.25">
      <c r="A39" t="s">
        <v>3</v>
      </c>
      <c r="B39" t="s">
        <v>36</v>
      </c>
      <c r="C39">
        <v>170</v>
      </c>
      <c r="D39">
        <v>56</v>
      </c>
      <c r="E39" t="s">
        <v>66</v>
      </c>
      <c r="F39" t="s">
        <v>7</v>
      </c>
      <c r="G39" t="s">
        <v>8</v>
      </c>
      <c r="H39" t="s">
        <v>21</v>
      </c>
      <c r="I39" t="s">
        <v>127</v>
      </c>
      <c r="J39" t="s">
        <v>23</v>
      </c>
      <c r="K39" t="s">
        <v>61</v>
      </c>
      <c r="L39" t="s">
        <v>24</v>
      </c>
      <c r="M39" t="s">
        <v>53</v>
      </c>
      <c r="N39" t="s">
        <v>38</v>
      </c>
      <c r="O39" t="s">
        <v>55</v>
      </c>
      <c r="P39" t="s">
        <v>67</v>
      </c>
      <c r="Q39" t="s">
        <v>18</v>
      </c>
      <c r="R39" s="1">
        <v>17.50561501</v>
      </c>
    </row>
    <row r="40" spans="1:18" x14ac:dyDescent="0.25">
      <c r="A40" t="s">
        <v>3</v>
      </c>
      <c r="B40" t="s">
        <v>36</v>
      </c>
      <c r="C40">
        <v>170</v>
      </c>
      <c r="D40">
        <v>56</v>
      </c>
      <c r="E40" t="s">
        <v>66</v>
      </c>
      <c r="F40" t="s">
        <v>7</v>
      </c>
      <c r="G40" t="s">
        <v>8</v>
      </c>
      <c r="H40" t="s">
        <v>21</v>
      </c>
      <c r="I40" t="s">
        <v>126</v>
      </c>
      <c r="J40" t="s">
        <v>23</v>
      </c>
      <c r="K40" t="s">
        <v>61</v>
      </c>
      <c r="L40" t="s">
        <v>24</v>
      </c>
      <c r="M40" t="s">
        <v>53</v>
      </c>
      <c r="N40" t="s">
        <v>38</v>
      </c>
      <c r="O40" t="s">
        <v>55</v>
      </c>
      <c r="P40" t="s">
        <v>68</v>
      </c>
      <c r="Q40" t="s">
        <v>18</v>
      </c>
      <c r="R40" s="1">
        <v>22.640864619999999</v>
      </c>
    </row>
    <row r="41" spans="1:18" x14ac:dyDescent="0.25">
      <c r="A41" t="s">
        <v>3</v>
      </c>
      <c r="B41" t="s">
        <v>36</v>
      </c>
      <c r="C41">
        <v>176</v>
      </c>
      <c r="D41">
        <v>71</v>
      </c>
      <c r="E41" t="s">
        <v>66</v>
      </c>
      <c r="F41" t="s">
        <v>11</v>
      </c>
      <c r="G41" t="s">
        <v>11</v>
      </c>
      <c r="H41" t="s">
        <v>44</v>
      </c>
      <c r="I41" t="s">
        <v>69</v>
      </c>
      <c r="J41" t="s">
        <v>11</v>
      </c>
      <c r="K41" t="s">
        <v>70</v>
      </c>
      <c r="L41" t="s">
        <v>13</v>
      </c>
      <c r="M41" t="s">
        <v>14</v>
      </c>
      <c r="N41" t="s">
        <v>38</v>
      </c>
      <c r="O41" t="s">
        <v>16</v>
      </c>
      <c r="P41" t="s">
        <v>71</v>
      </c>
      <c r="Q41" t="s">
        <v>44</v>
      </c>
      <c r="R41" s="1">
        <v>28.731921490000001</v>
      </c>
    </row>
    <row r="42" spans="1:18" x14ac:dyDescent="0.25">
      <c r="A42" t="s">
        <v>3</v>
      </c>
      <c r="B42" t="s">
        <v>4</v>
      </c>
      <c r="C42">
        <v>161</v>
      </c>
      <c r="D42">
        <v>57</v>
      </c>
      <c r="E42" t="s">
        <v>54</v>
      </c>
      <c r="F42" t="s">
        <v>11</v>
      </c>
      <c r="G42" t="s">
        <v>20</v>
      </c>
      <c r="H42" t="s">
        <v>72</v>
      </c>
      <c r="I42" t="s">
        <v>14</v>
      </c>
      <c r="J42" t="s">
        <v>23</v>
      </c>
      <c r="K42" t="s">
        <v>73</v>
      </c>
      <c r="L42" t="s">
        <v>19</v>
      </c>
      <c r="M42" t="s">
        <v>14</v>
      </c>
      <c r="N42" t="s">
        <v>46</v>
      </c>
      <c r="O42" t="s">
        <v>55</v>
      </c>
      <c r="P42" t="s">
        <v>35</v>
      </c>
      <c r="Q42" t="s">
        <v>26</v>
      </c>
      <c r="R42" s="1">
        <v>34.4752504</v>
      </c>
    </row>
    <row r="43" spans="1:18" x14ac:dyDescent="0.25">
      <c r="A43" t="s">
        <v>3</v>
      </c>
      <c r="B43" t="s">
        <v>36</v>
      </c>
      <c r="C43">
        <v>166</v>
      </c>
      <c r="D43">
        <v>55</v>
      </c>
      <c r="E43" t="s">
        <v>5</v>
      </c>
      <c r="F43" t="s">
        <v>7</v>
      </c>
      <c r="G43" t="s">
        <v>8</v>
      </c>
      <c r="H43" t="s">
        <v>72</v>
      </c>
      <c r="I43" t="s">
        <v>22</v>
      </c>
      <c r="J43" t="s">
        <v>11</v>
      </c>
      <c r="K43" t="s">
        <v>74</v>
      </c>
      <c r="L43" t="s">
        <v>13</v>
      </c>
      <c r="M43" t="s">
        <v>45</v>
      </c>
      <c r="N43" t="s">
        <v>15</v>
      </c>
      <c r="O43" t="s">
        <v>55</v>
      </c>
      <c r="P43" t="s">
        <v>48</v>
      </c>
      <c r="Q43" t="s">
        <v>39</v>
      </c>
      <c r="R43" s="1">
        <v>14.36339386</v>
      </c>
    </row>
    <row r="44" spans="1:18" x14ac:dyDescent="0.25">
      <c r="A44" t="s">
        <v>3</v>
      </c>
      <c r="B44" t="s">
        <v>4</v>
      </c>
      <c r="C44">
        <v>161</v>
      </c>
      <c r="D44">
        <v>68</v>
      </c>
      <c r="E44" t="s">
        <v>5</v>
      </c>
      <c r="F44" t="s">
        <v>7</v>
      </c>
      <c r="G44" t="s">
        <v>8</v>
      </c>
      <c r="H44" t="s">
        <v>72</v>
      </c>
      <c r="I44" t="s">
        <v>75</v>
      </c>
      <c r="J44" t="s">
        <v>23</v>
      </c>
      <c r="K44" t="s">
        <v>76</v>
      </c>
      <c r="L44" t="s">
        <v>52</v>
      </c>
      <c r="M44" t="s">
        <v>77</v>
      </c>
      <c r="N44" t="s">
        <v>38</v>
      </c>
      <c r="O44" t="s">
        <v>16</v>
      </c>
      <c r="P44" t="s">
        <v>48</v>
      </c>
      <c r="Q44" t="s">
        <v>26</v>
      </c>
      <c r="R44" s="1">
        <v>21.926125819999999</v>
      </c>
    </row>
    <row r="45" spans="1:18" x14ac:dyDescent="0.25">
      <c r="A45" t="s">
        <v>3</v>
      </c>
      <c r="B45" t="s">
        <v>36</v>
      </c>
      <c r="C45">
        <v>167</v>
      </c>
      <c r="D45">
        <v>57</v>
      </c>
      <c r="E45" t="s">
        <v>5</v>
      </c>
      <c r="F45" t="s">
        <v>7</v>
      </c>
      <c r="G45" t="s">
        <v>8</v>
      </c>
      <c r="H45" t="s">
        <v>72</v>
      </c>
      <c r="I45" t="s">
        <v>22</v>
      </c>
      <c r="J45" t="s">
        <v>11</v>
      </c>
      <c r="K45" t="s">
        <v>74</v>
      </c>
      <c r="L45" t="s">
        <v>13</v>
      </c>
      <c r="M45" t="s">
        <v>45</v>
      </c>
      <c r="N45" t="s">
        <v>15</v>
      </c>
      <c r="O45" t="s">
        <v>55</v>
      </c>
      <c r="P45" t="s">
        <v>48</v>
      </c>
      <c r="Q45" t="s">
        <v>39</v>
      </c>
      <c r="R45" s="1">
        <v>21.49028551</v>
      </c>
    </row>
    <row r="46" spans="1:18" x14ac:dyDescent="0.25">
      <c r="A46" t="s">
        <v>3</v>
      </c>
      <c r="B46" t="s">
        <v>36</v>
      </c>
      <c r="C46">
        <v>175</v>
      </c>
      <c r="D46">
        <v>67</v>
      </c>
      <c r="E46" t="s">
        <v>66</v>
      </c>
      <c r="F46" t="s">
        <v>11</v>
      </c>
      <c r="G46" t="s">
        <v>11</v>
      </c>
      <c r="H46" t="s">
        <v>44</v>
      </c>
      <c r="I46" t="s">
        <v>69</v>
      </c>
      <c r="J46" t="s">
        <v>11</v>
      </c>
      <c r="K46" t="s">
        <v>70</v>
      </c>
      <c r="L46" t="s">
        <v>13</v>
      </c>
      <c r="M46" t="s">
        <v>14</v>
      </c>
      <c r="N46" t="s">
        <v>38</v>
      </c>
      <c r="O46" t="s">
        <v>16</v>
      </c>
      <c r="P46" t="s">
        <v>71</v>
      </c>
      <c r="Q46" t="s">
        <v>44</v>
      </c>
      <c r="R46" s="1">
        <v>28.305995060000001</v>
      </c>
    </row>
    <row r="47" spans="1:18" x14ac:dyDescent="0.25">
      <c r="A47" t="s">
        <v>3</v>
      </c>
      <c r="B47" t="s">
        <v>4</v>
      </c>
      <c r="C47">
        <v>166</v>
      </c>
      <c r="D47">
        <v>60</v>
      </c>
      <c r="E47" t="s">
        <v>54</v>
      </c>
      <c r="F47" t="s">
        <v>11</v>
      </c>
      <c r="G47" t="s">
        <v>20</v>
      </c>
      <c r="H47" t="s">
        <v>72</v>
      </c>
      <c r="I47" t="s">
        <v>14</v>
      </c>
      <c r="J47" t="s">
        <v>23</v>
      </c>
      <c r="K47" t="s">
        <v>73</v>
      </c>
      <c r="L47" t="s">
        <v>19</v>
      </c>
      <c r="M47" t="s">
        <v>14</v>
      </c>
      <c r="N47" t="s">
        <v>46</v>
      </c>
      <c r="O47" t="s">
        <v>55</v>
      </c>
      <c r="P47" t="s">
        <v>35</v>
      </c>
      <c r="Q47" t="s">
        <v>26</v>
      </c>
      <c r="R47" s="1">
        <v>33.386558280000003</v>
      </c>
    </row>
    <row r="48" spans="1:18" x14ac:dyDescent="0.25">
      <c r="A48" t="s">
        <v>3</v>
      </c>
      <c r="B48" t="s">
        <v>4</v>
      </c>
      <c r="C48">
        <v>156</v>
      </c>
      <c r="D48">
        <v>64</v>
      </c>
      <c r="E48" t="s">
        <v>5</v>
      </c>
      <c r="F48" t="s">
        <v>7</v>
      </c>
      <c r="G48" t="s">
        <v>20</v>
      </c>
      <c r="H48" t="s">
        <v>27</v>
      </c>
      <c r="I48" t="s">
        <v>10</v>
      </c>
      <c r="J48" t="s">
        <v>23</v>
      </c>
      <c r="K48" t="s">
        <v>73</v>
      </c>
      <c r="L48" t="s">
        <v>19</v>
      </c>
      <c r="M48" t="s">
        <v>14</v>
      </c>
      <c r="N48" t="s">
        <v>38</v>
      </c>
      <c r="O48" t="s">
        <v>16</v>
      </c>
      <c r="P48" t="s">
        <v>25</v>
      </c>
      <c r="Q48" t="s">
        <v>42</v>
      </c>
      <c r="R48" s="1">
        <v>19.95935549</v>
      </c>
    </row>
    <row r="49" spans="1:18" x14ac:dyDescent="0.25">
      <c r="A49" t="s">
        <v>3</v>
      </c>
      <c r="B49" t="s">
        <v>36</v>
      </c>
      <c r="C49">
        <v>166</v>
      </c>
      <c r="D49">
        <v>55</v>
      </c>
      <c r="E49" t="s">
        <v>5</v>
      </c>
      <c r="F49" t="s">
        <v>7</v>
      </c>
      <c r="G49" t="s">
        <v>8</v>
      </c>
      <c r="H49" t="s">
        <v>72</v>
      </c>
      <c r="I49" t="s">
        <v>22</v>
      </c>
      <c r="J49" t="s">
        <v>11</v>
      </c>
      <c r="K49" t="s">
        <v>74</v>
      </c>
      <c r="L49" t="s">
        <v>13</v>
      </c>
      <c r="M49" t="s">
        <v>45</v>
      </c>
      <c r="N49" t="s">
        <v>15</v>
      </c>
      <c r="O49" t="s">
        <v>55</v>
      </c>
      <c r="P49" t="s">
        <v>48</v>
      </c>
      <c r="Q49" t="s">
        <v>39</v>
      </c>
      <c r="R49" s="1">
        <v>15.059700960000001</v>
      </c>
    </row>
    <row r="50" spans="1:18" x14ac:dyDescent="0.25">
      <c r="A50" t="s">
        <v>3</v>
      </c>
      <c r="B50" t="s">
        <v>4</v>
      </c>
      <c r="C50">
        <v>163</v>
      </c>
      <c r="D50">
        <v>68</v>
      </c>
      <c r="E50" t="s">
        <v>5</v>
      </c>
      <c r="F50" t="s">
        <v>7</v>
      </c>
      <c r="G50" t="s">
        <v>8</v>
      </c>
      <c r="H50" t="s">
        <v>72</v>
      </c>
      <c r="I50" t="s">
        <v>75</v>
      </c>
      <c r="J50" t="s">
        <v>23</v>
      </c>
      <c r="K50" t="s">
        <v>76</v>
      </c>
      <c r="L50" t="s">
        <v>52</v>
      </c>
      <c r="M50" t="s">
        <v>77</v>
      </c>
      <c r="N50" t="s">
        <v>38</v>
      </c>
      <c r="O50" t="s">
        <v>16</v>
      </c>
      <c r="P50" t="s">
        <v>48</v>
      </c>
      <c r="Q50" t="s">
        <v>26</v>
      </c>
      <c r="R50" s="1">
        <v>23.495236869999999</v>
      </c>
    </row>
    <row r="51" spans="1:18" hidden="1" x14ac:dyDescent="0.25">
      <c r="A51" t="s">
        <v>3</v>
      </c>
      <c r="B51" t="s">
        <v>36</v>
      </c>
      <c r="C51">
        <v>166</v>
      </c>
      <c r="D51">
        <v>55</v>
      </c>
      <c r="E51" t="s">
        <v>5</v>
      </c>
      <c r="F51" t="s">
        <v>7</v>
      </c>
      <c r="G51" t="s">
        <v>8</v>
      </c>
      <c r="H51" t="s">
        <v>72</v>
      </c>
      <c r="I51" t="s">
        <v>22</v>
      </c>
      <c r="J51" t="s">
        <v>11</v>
      </c>
      <c r="K51" t="s">
        <v>74</v>
      </c>
      <c r="L51" t="s">
        <v>13</v>
      </c>
      <c r="M51" t="s">
        <v>45</v>
      </c>
      <c r="N51" t="s">
        <v>15</v>
      </c>
      <c r="O51" t="s">
        <v>55</v>
      </c>
      <c r="P51" t="s">
        <v>48</v>
      </c>
      <c r="Q51" t="s">
        <v>39</v>
      </c>
    </row>
    <row r="52" spans="1:18" hidden="1" x14ac:dyDescent="0.25">
      <c r="A52" t="s">
        <v>3</v>
      </c>
      <c r="B52" t="s">
        <v>4</v>
      </c>
      <c r="C52">
        <v>161</v>
      </c>
      <c r="D52">
        <v>68</v>
      </c>
      <c r="E52" t="s">
        <v>5</v>
      </c>
      <c r="F52" t="s">
        <v>7</v>
      </c>
      <c r="G52" t="s">
        <v>8</v>
      </c>
      <c r="H52" t="s">
        <v>72</v>
      </c>
      <c r="I52" t="s">
        <v>75</v>
      </c>
      <c r="J52" t="s">
        <v>23</v>
      </c>
      <c r="K52" t="s">
        <v>50</v>
      </c>
      <c r="L52" t="s">
        <v>13</v>
      </c>
      <c r="M52" t="s">
        <v>77</v>
      </c>
      <c r="N52" t="s">
        <v>38</v>
      </c>
      <c r="O52" t="s">
        <v>16</v>
      </c>
      <c r="P52" t="s">
        <v>48</v>
      </c>
      <c r="Q52" t="s">
        <v>26</v>
      </c>
    </row>
    <row r="53" spans="1:18" hidden="1" x14ac:dyDescent="0.25">
      <c r="A53" t="s">
        <v>3</v>
      </c>
      <c r="B53" t="s">
        <v>36</v>
      </c>
      <c r="C53">
        <v>167</v>
      </c>
      <c r="D53">
        <v>57</v>
      </c>
      <c r="E53" t="s">
        <v>5</v>
      </c>
      <c r="F53" t="s">
        <v>7</v>
      </c>
      <c r="G53" t="s">
        <v>8</v>
      </c>
      <c r="H53" t="s">
        <v>72</v>
      </c>
      <c r="I53" t="s">
        <v>22</v>
      </c>
      <c r="J53" t="s">
        <v>11</v>
      </c>
      <c r="K53" t="s">
        <v>74</v>
      </c>
      <c r="L53" t="s">
        <v>13</v>
      </c>
      <c r="M53" t="s">
        <v>45</v>
      </c>
      <c r="N53" t="s">
        <v>15</v>
      </c>
      <c r="O53" t="s">
        <v>55</v>
      </c>
      <c r="P53" t="s">
        <v>48</v>
      </c>
      <c r="Q53" t="s">
        <v>39</v>
      </c>
    </row>
    <row r="54" spans="1:18" hidden="1" x14ac:dyDescent="0.25">
      <c r="A54" t="s">
        <v>3</v>
      </c>
      <c r="B54" t="s">
        <v>36</v>
      </c>
      <c r="C54">
        <v>175</v>
      </c>
      <c r="D54">
        <v>67</v>
      </c>
      <c r="E54" t="s">
        <v>66</v>
      </c>
      <c r="F54" t="s">
        <v>11</v>
      </c>
      <c r="G54" t="s">
        <v>11</v>
      </c>
      <c r="H54" t="s">
        <v>44</v>
      </c>
      <c r="I54" t="s">
        <v>69</v>
      </c>
      <c r="J54" t="s">
        <v>11</v>
      </c>
      <c r="K54" t="s">
        <v>70</v>
      </c>
      <c r="L54" t="s">
        <v>13</v>
      </c>
      <c r="M54" t="s">
        <v>14</v>
      </c>
      <c r="N54" t="s">
        <v>38</v>
      </c>
      <c r="O54" t="s">
        <v>16</v>
      </c>
      <c r="P54" t="s">
        <v>71</v>
      </c>
      <c r="Q54" t="s">
        <v>44</v>
      </c>
    </row>
    <row r="55" spans="1:18" hidden="1" x14ac:dyDescent="0.25">
      <c r="A55" t="s">
        <v>3</v>
      </c>
      <c r="B55" t="s">
        <v>4</v>
      </c>
      <c r="C55">
        <v>166</v>
      </c>
      <c r="D55">
        <v>60</v>
      </c>
      <c r="E55" t="s">
        <v>54</v>
      </c>
      <c r="F55" t="s">
        <v>11</v>
      </c>
      <c r="G55" t="s">
        <v>20</v>
      </c>
      <c r="H55" t="s">
        <v>72</v>
      </c>
      <c r="I55" t="s">
        <v>14</v>
      </c>
      <c r="J55" t="s">
        <v>23</v>
      </c>
      <c r="K55" t="s">
        <v>73</v>
      </c>
      <c r="L55" t="s">
        <v>19</v>
      </c>
      <c r="M55" t="s">
        <v>14</v>
      </c>
      <c r="N55" t="s">
        <v>46</v>
      </c>
      <c r="O55" t="s">
        <v>55</v>
      </c>
      <c r="P55" t="s">
        <v>35</v>
      </c>
      <c r="Q55" t="s">
        <v>26</v>
      </c>
    </row>
    <row r="56" spans="1:18" hidden="1" x14ac:dyDescent="0.25">
      <c r="A56" t="s">
        <v>3</v>
      </c>
      <c r="B56" t="s">
        <v>4</v>
      </c>
      <c r="C56">
        <v>156</v>
      </c>
      <c r="D56">
        <v>64</v>
      </c>
      <c r="E56" t="s">
        <v>5</v>
      </c>
      <c r="F56" t="s">
        <v>7</v>
      </c>
      <c r="G56" t="s">
        <v>20</v>
      </c>
      <c r="H56" t="s">
        <v>27</v>
      </c>
      <c r="I56" t="s">
        <v>10</v>
      </c>
      <c r="J56" t="s">
        <v>23</v>
      </c>
      <c r="K56" t="s">
        <v>73</v>
      </c>
      <c r="L56" t="s">
        <v>19</v>
      </c>
      <c r="M56" t="s">
        <v>14</v>
      </c>
      <c r="N56" t="s">
        <v>38</v>
      </c>
      <c r="O56" t="s">
        <v>16</v>
      </c>
      <c r="P56" t="s">
        <v>25</v>
      </c>
      <c r="Q56" t="s">
        <v>42</v>
      </c>
    </row>
    <row r="57" spans="1:18" hidden="1" x14ac:dyDescent="0.25">
      <c r="A57" t="s">
        <v>3</v>
      </c>
      <c r="B57" t="s">
        <v>4</v>
      </c>
      <c r="C57">
        <v>163</v>
      </c>
      <c r="D57">
        <v>68</v>
      </c>
      <c r="E57" t="s">
        <v>5</v>
      </c>
      <c r="F57" t="s">
        <v>7</v>
      </c>
      <c r="G57" t="s">
        <v>8</v>
      </c>
      <c r="H57" t="s">
        <v>72</v>
      </c>
      <c r="I57" t="s">
        <v>75</v>
      </c>
      <c r="J57" t="s">
        <v>23</v>
      </c>
      <c r="K57" t="s">
        <v>62</v>
      </c>
      <c r="L57" t="s">
        <v>13</v>
      </c>
      <c r="M57" t="s">
        <v>77</v>
      </c>
      <c r="N57" t="s">
        <v>38</v>
      </c>
      <c r="O57" t="s">
        <v>16</v>
      </c>
      <c r="P57" t="s">
        <v>48</v>
      </c>
      <c r="Q57" t="s">
        <v>26</v>
      </c>
    </row>
    <row r="58" spans="1:18" hidden="1" x14ac:dyDescent="0.25">
      <c r="A58" t="s">
        <v>3</v>
      </c>
      <c r="B58" t="s">
        <v>4</v>
      </c>
      <c r="C58">
        <v>184</v>
      </c>
      <c r="D58">
        <v>64</v>
      </c>
      <c r="E58" t="s">
        <v>5</v>
      </c>
      <c r="F58" t="s">
        <v>7</v>
      </c>
      <c r="G58" t="s">
        <v>8</v>
      </c>
      <c r="H58" t="s">
        <v>72</v>
      </c>
      <c r="I58" t="s">
        <v>10</v>
      </c>
      <c r="J58" t="s">
        <v>43</v>
      </c>
      <c r="K58" t="s">
        <v>14</v>
      </c>
      <c r="L58" t="s">
        <v>44</v>
      </c>
      <c r="M58" t="s">
        <v>45</v>
      </c>
      <c r="N58" t="s">
        <v>38</v>
      </c>
      <c r="O58" t="s">
        <v>55</v>
      </c>
      <c r="P58" t="s">
        <v>14</v>
      </c>
      <c r="Q58" t="s">
        <v>42</v>
      </c>
    </row>
    <row r="59" spans="1:18" hidden="1" x14ac:dyDescent="0.25">
      <c r="A59" t="s">
        <v>3</v>
      </c>
      <c r="B59" t="s">
        <v>4</v>
      </c>
      <c r="C59">
        <v>172</v>
      </c>
      <c r="D59">
        <v>73</v>
      </c>
      <c r="E59" t="s">
        <v>5</v>
      </c>
      <c r="F59" t="s">
        <v>11</v>
      </c>
      <c r="G59" t="s">
        <v>8</v>
      </c>
      <c r="H59" t="s">
        <v>72</v>
      </c>
      <c r="I59" t="s">
        <v>14</v>
      </c>
      <c r="J59" t="s">
        <v>23</v>
      </c>
      <c r="K59" t="s">
        <v>78</v>
      </c>
      <c r="L59" t="s">
        <v>24</v>
      </c>
      <c r="M59" t="s">
        <v>14</v>
      </c>
      <c r="N59" t="s">
        <v>15</v>
      </c>
      <c r="O59" t="s">
        <v>55</v>
      </c>
      <c r="P59" t="s">
        <v>14</v>
      </c>
      <c r="Q59" t="s">
        <v>42</v>
      </c>
    </row>
    <row r="60" spans="1:18" hidden="1" x14ac:dyDescent="0.25">
      <c r="A60" t="s">
        <v>3</v>
      </c>
      <c r="B60" t="s">
        <v>4</v>
      </c>
      <c r="C60">
        <v>159</v>
      </c>
      <c r="D60">
        <v>52</v>
      </c>
      <c r="E60" t="s">
        <v>5</v>
      </c>
      <c r="F60" t="s">
        <v>7</v>
      </c>
      <c r="G60" t="s">
        <v>8</v>
      </c>
      <c r="H60" t="s">
        <v>21</v>
      </c>
      <c r="I60" t="s">
        <v>122</v>
      </c>
      <c r="J60" t="s">
        <v>11</v>
      </c>
      <c r="K60" t="s">
        <v>62</v>
      </c>
      <c r="L60" t="s">
        <v>13</v>
      </c>
      <c r="M60" t="s">
        <v>79</v>
      </c>
      <c r="N60" t="s">
        <v>38</v>
      </c>
      <c r="O60" t="s">
        <v>34</v>
      </c>
      <c r="P60" t="s">
        <v>14</v>
      </c>
      <c r="Q60" t="s">
        <v>26</v>
      </c>
    </row>
    <row r="61" spans="1:18" hidden="1" x14ac:dyDescent="0.25">
      <c r="A61" t="s">
        <v>3</v>
      </c>
      <c r="B61" t="s">
        <v>4</v>
      </c>
      <c r="C61">
        <v>170</v>
      </c>
      <c r="D61">
        <v>64</v>
      </c>
      <c r="E61" t="s">
        <v>54</v>
      </c>
      <c r="F61" t="s">
        <v>7</v>
      </c>
      <c r="G61" t="s">
        <v>8</v>
      </c>
      <c r="H61" t="s">
        <v>72</v>
      </c>
      <c r="I61" t="s">
        <v>10</v>
      </c>
      <c r="J61" t="s">
        <v>23</v>
      </c>
      <c r="K61" t="s">
        <v>74</v>
      </c>
      <c r="L61" t="s">
        <v>32</v>
      </c>
      <c r="M61" t="s">
        <v>37</v>
      </c>
      <c r="N61" t="s">
        <v>65</v>
      </c>
      <c r="O61" t="s">
        <v>55</v>
      </c>
      <c r="P61" t="s">
        <v>80</v>
      </c>
      <c r="Q61" t="s">
        <v>42</v>
      </c>
    </row>
    <row r="62" spans="1:18" hidden="1" x14ac:dyDescent="0.25">
      <c r="A62" t="s">
        <v>3</v>
      </c>
      <c r="B62" t="s">
        <v>36</v>
      </c>
      <c r="C62">
        <v>167</v>
      </c>
      <c r="D62">
        <v>46</v>
      </c>
      <c r="E62" t="s">
        <v>5</v>
      </c>
      <c r="F62" t="s">
        <v>11</v>
      </c>
      <c r="G62" t="s">
        <v>8</v>
      </c>
      <c r="H62" t="s">
        <v>27</v>
      </c>
      <c r="I62" t="s">
        <v>10</v>
      </c>
      <c r="J62" t="s">
        <v>43</v>
      </c>
      <c r="K62" t="s">
        <v>14</v>
      </c>
      <c r="L62" t="s">
        <v>44</v>
      </c>
      <c r="M62" t="s">
        <v>14</v>
      </c>
      <c r="N62" t="s">
        <v>15</v>
      </c>
      <c r="O62" t="s">
        <v>16</v>
      </c>
      <c r="P62" t="s">
        <v>71</v>
      </c>
      <c r="Q62" t="s">
        <v>26</v>
      </c>
    </row>
    <row r="63" spans="1:18" hidden="1" x14ac:dyDescent="0.25">
      <c r="A63" t="s">
        <v>3</v>
      </c>
      <c r="B63" t="s">
        <v>36</v>
      </c>
      <c r="C63">
        <v>156</v>
      </c>
      <c r="D63">
        <v>83</v>
      </c>
      <c r="E63" t="s">
        <v>5</v>
      </c>
      <c r="F63" t="s">
        <v>7</v>
      </c>
      <c r="G63" t="s">
        <v>8</v>
      </c>
      <c r="H63" t="s">
        <v>21</v>
      </c>
      <c r="I63" t="s">
        <v>10</v>
      </c>
      <c r="J63" t="s">
        <v>23</v>
      </c>
      <c r="K63" t="s">
        <v>52</v>
      </c>
      <c r="L63" t="s">
        <v>32</v>
      </c>
      <c r="M63" t="s">
        <v>51</v>
      </c>
      <c r="N63" t="s">
        <v>15</v>
      </c>
      <c r="O63" t="s">
        <v>34</v>
      </c>
      <c r="P63" t="s">
        <v>14</v>
      </c>
      <c r="Q63" t="s">
        <v>26</v>
      </c>
    </row>
    <row r="64" spans="1:18" hidden="1" x14ac:dyDescent="0.25">
      <c r="A64" t="s">
        <v>3</v>
      </c>
      <c r="B64" t="s">
        <v>4</v>
      </c>
      <c r="C64">
        <v>174</v>
      </c>
      <c r="D64">
        <v>71</v>
      </c>
      <c r="E64" t="s">
        <v>5</v>
      </c>
      <c r="F64" t="s">
        <v>11</v>
      </c>
      <c r="G64" t="s">
        <v>8</v>
      </c>
      <c r="H64" t="s">
        <v>72</v>
      </c>
      <c r="I64" t="s">
        <v>14</v>
      </c>
      <c r="J64" t="s">
        <v>23</v>
      </c>
      <c r="K64" t="s">
        <v>78</v>
      </c>
      <c r="L64" t="s">
        <v>24</v>
      </c>
      <c r="M64" t="s">
        <v>14</v>
      </c>
      <c r="N64" t="s">
        <v>15</v>
      </c>
      <c r="O64" t="s">
        <v>55</v>
      </c>
      <c r="P64" t="s">
        <v>14</v>
      </c>
      <c r="Q64" t="s">
        <v>42</v>
      </c>
    </row>
    <row r="65" spans="1:18" hidden="1" x14ac:dyDescent="0.25">
      <c r="A65" t="s">
        <v>3</v>
      </c>
      <c r="B65" t="s">
        <v>4</v>
      </c>
      <c r="C65">
        <v>162</v>
      </c>
      <c r="D65">
        <v>53</v>
      </c>
      <c r="E65" t="s">
        <v>5</v>
      </c>
      <c r="F65" t="s">
        <v>7</v>
      </c>
      <c r="G65" t="s">
        <v>8</v>
      </c>
      <c r="H65" t="s">
        <v>21</v>
      </c>
      <c r="I65" t="s">
        <v>122</v>
      </c>
      <c r="J65" t="s">
        <v>11</v>
      </c>
      <c r="K65" t="s">
        <v>62</v>
      </c>
      <c r="L65" t="s">
        <v>13</v>
      </c>
      <c r="M65" t="s">
        <v>79</v>
      </c>
      <c r="N65" t="s">
        <v>38</v>
      </c>
      <c r="O65" t="s">
        <v>34</v>
      </c>
      <c r="P65" t="s">
        <v>14</v>
      </c>
      <c r="Q65" t="s">
        <v>26</v>
      </c>
    </row>
    <row r="66" spans="1:18" hidden="1" x14ac:dyDescent="0.25">
      <c r="A66" t="s">
        <v>3</v>
      </c>
      <c r="B66" t="s">
        <v>4</v>
      </c>
      <c r="C66">
        <v>169</v>
      </c>
      <c r="D66">
        <v>65</v>
      </c>
      <c r="E66" t="s">
        <v>54</v>
      </c>
      <c r="F66" t="s">
        <v>7</v>
      </c>
      <c r="G66" t="s">
        <v>8</v>
      </c>
      <c r="H66" t="s">
        <v>72</v>
      </c>
      <c r="I66" t="s">
        <v>10</v>
      </c>
      <c r="J66" t="s">
        <v>23</v>
      </c>
      <c r="K66" t="s">
        <v>74</v>
      </c>
      <c r="L66" t="s">
        <v>32</v>
      </c>
      <c r="M66" t="s">
        <v>37</v>
      </c>
      <c r="N66" t="s">
        <v>65</v>
      </c>
      <c r="O66" t="s">
        <v>55</v>
      </c>
      <c r="P66" t="s">
        <v>80</v>
      </c>
      <c r="Q66" t="s">
        <v>42</v>
      </c>
    </row>
    <row r="67" spans="1:18" hidden="1" x14ac:dyDescent="0.25">
      <c r="A67" t="s">
        <v>3</v>
      </c>
      <c r="B67" t="s">
        <v>4</v>
      </c>
      <c r="C67">
        <v>167</v>
      </c>
      <c r="D67">
        <v>59</v>
      </c>
      <c r="E67" t="s">
        <v>54</v>
      </c>
      <c r="F67" t="s">
        <v>6</v>
      </c>
      <c r="G67" t="s">
        <v>20</v>
      </c>
      <c r="H67" t="s">
        <v>9</v>
      </c>
      <c r="I67" t="s">
        <v>128</v>
      </c>
      <c r="J67" t="s">
        <v>23</v>
      </c>
      <c r="K67" t="s">
        <v>62</v>
      </c>
      <c r="L67" t="s">
        <v>32</v>
      </c>
      <c r="M67" t="s">
        <v>37</v>
      </c>
      <c r="N67" t="s">
        <v>65</v>
      </c>
      <c r="O67" t="s">
        <v>34</v>
      </c>
      <c r="P67" t="s">
        <v>80</v>
      </c>
      <c r="Q67" t="s">
        <v>39</v>
      </c>
    </row>
    <row r="68" spans="1:18" hidden="1" x14ac:dyDescent="0.25">
      <c r="A68" t="s">
        <v>3</v>
      </c>
      <c r="B68" t="s">
        <v>36</v>
      </c>
      <c r="C68">
        <v>155</v>
      </c>
      <c r="D68">
        <v>80</v>
      </c>
      <c r="E68" t="s">
        <v>5</v>
      </c>
      <c r="F68" t="s">
        <v>7</v>
      </c>
      <c r="G68" t="s">
        <v>8</v>
      </c>
      <c r="H68" t="s">
        <v>21</v>
      </c>
      <c r="I68" t="s">
        <v>10</v>
      </c>
      <c r="J68" t="s">
        <v>23</v>
      </c>
      <c r="K68" t="s">
        <v>52</v>
      </c>
      <c r="L68" t="s">
        <v>32</v>
      </c>
      <c r="M68" t="s">
        <v>51</v>
      </c>
      <c r="N68" t="s">
        <v>15</v>
      </c>
      <c r="O68" t="s">
        <v>34</v>
      </c>
      <c r="P68" t="s">
        <v>14</v>
      </c>
      <c r="Q68" t="s">
        <v>26</v>
      </c>
    </row>
    <row r="69" spans="1:18" hidden="1" x14ac:dyDescent="0.25">
      <c r="A69" t="s">
        <v>3</v>
      </c>
      <c r="B69" t="s">
        <v>4</v>
      </c>
      <c r="C69">
        <v>184</v>
      </c>
      <c r="D69">
        <v>68</v>
      </c>
      <c r="E69" t="s">
        <v>5</v>
      </c>
      <c r="F69" t="s">
        <v>7</v>
      </c>
      <c r="G69" t="s">
        <v>8</v>
      </c>
      <c r="H69" t="s">
        <v>9</v>
      </c>
      <c r="I69" t="s">
        <v>81</v>
      </c>
      <c r="J69" t="s">
        <v>23</v>
      </c>
      <c r="K69" t="s">
        <v>12</v>
      </c>
      <c r="L69" t="s">
        <v>32</v>
      </c>
      <c r="M69" t="s">
        <v>82</v>
      </c>
      <c r="N69" t="s">
        <v>38</v>
      </c>
      <c r="O69" t="s">
        <v>58</v>
      </c>
      <c r="P69" t="s">
        <v>14</v>
      </c>
      <c r="Q69" t="s">
        <v>42</v>
      </c>
    </row>
    <row r="70" spans="1:18" hidden="1" x14ac:dyDescent="0.25">
      <c r="A70" t="s">
        <v>3</v>
      </c>
      <c r="B70" t="s">
        <v>4</v>
      </c>
      <c r="C70">
        <v>163</v>
      </c>
      <c r="D70">
        <v>68</v>
      </c>
      <c r="E70" t="s">
        <v>5</v>
      </c>
      <c r="F70" t="s">
        <v>7</v>
      </c>
      <c r="G70" t="s">
        <v>8</v>
      </c>
      <c r="H70" t="s">
        <v>72</v>
      </c>
      <c r="I70" t="s">
        <v>75</v>
      </c>
      <c r="J70" t="s">
        <v>23</v>
      </c>
      <c r="K70" t="s">
        <v>76</v>
      </c>
      <c r="L70" t="s">
        <v>52</v>
      </c>
      <c r="M70" t="s">
        <v>77</v>
      </c>
      <c r="N70" t="s">
        <v>38</v>
      </c>
      <c r="O70" t="s">
        <v>16</v>
      </c>
      <c r="P70" t="s">
        <v>48</v>
      </c>
      <c r="Q70" t="s">
        <v>26</v>
      </c>
    </row>
    <row r="71" spans="1:18" x14ac:dyDescent="0.25">
      <c r="A71" t="s">
        <v>83</v>
      </c>
      <c r="B71" t="s">
        <v>4</v>
      </c>
      <c r="C71">
        <v>175</v>
      </c>
      <c r="D71">
        <v>72</v>
      </c>
      <c r="E71" t="s">
        <v>5</v>
      </c>
      <c r="F71" t="s">
        <v>7</v>
      </c>
      <c r="G71" t="s">
        <v>8</v>
      </c>
      <c r="H71" t="s">
        <v>30</v>
      </c>
      <c r="I71" t="s">
        <v>10</v>
      </c>
      <c r="J71" t="s">
        <v>23</v>
      </c>
      <c r="K71" t="s">
        <v>50</v>
      </c>
      <c r="L71" t="s">
        <v>32</v>
      </c>
      <c r="M71" t="s">
        <v>51</v>
      </c>
      <c r="N71" t="s">
        <v>38</v>
      </c>
      <c r="O71" t="s">
        <v>34</v>
      </c>
      <c r="P71" t="s">
        <v>17</v>
      </c>
      <c r="Q71" t="s">
        <v>26</v>
      </c>
      <c r="R71" s="1">
        <v>23.510204080000001</v>
      </c>
    </row>
    <row r="72" spans="1:18" x14ac:dyDescent="0.25">
      <c r="A72" t="s">
        <v>83</v>
      </c>
      <c r="B72" t="s">
        <v>4</v>
      </c>
      <c r="C72">
        <v>175</v>
      </c>
      <c r="D72">
        <v>70</v>
      </c>
      <c r="E72" t="s">
        <v>5</v>
      </c>
      <c r="F72" t="s">
        <v>7</v>
      </c>
      <c r="G72" t="s">
        <v>20</v>
      </c>
      <c r="H72" t="s">
        <v>9</v>
      </c>
      <c r="I72" t="s">
        <v>125</v>
      </c>
      <c r="J72" t="s">
        <v>11</v>
      </c>
      <c r="K72" t="s">
        <v>62</v>
      </c>
      <c r="L72" t="s">
        <v>32</v>
      </c>
      <c r="M72" t="s">
        <v>53</v>
      </c>
      <c r="N72" t="s">
        <v>15</v>
      </c>
      <c r="O72" t="s">
        <v>55</v>
      </c>
      <c r="P72" t="s">
        <v>25</v>
      </c>
      <c r="Q72" t="s">
        <v>26</v>
      </c>
      <c r="R72" s="1">
        <v>22.85714286</v>
      </c>
    </row>
    <row r="73" spans="1:18" x14ac:dyDescent="0.25">
      <c r="A73" t="s">
        <v>83</v>
      </c>
      <c r="B73" t="s">
        <v>4</v>
      </c>
      <c r="C73">
        <v>176</v>
      </c>
      <c r="D73">
        <v>79</v>
      </c>
      <c r="E73" t="s">
        <v>5</v>
      </c>
      <c r="F73" t="s">
        <v>7</v>
      </c>
      <c r="G73" t="s">
        <v>20</v>
      </c>
      <c r="H73" t="s">
        <v>44</v>
      </c>
      <c r="I73" t="s">
        <v>22</v>
      </c>
      <c r="J73" t="s">
        <v>23</v>
      </c>
      <c r="K73" t="s">
        <v>50</v>
      </c>
      <c r="L73" t="s">
        <v>19</v>
      </c>
      <c r="M73" t="s">
        <v>53</v>
      </c>
      <c r="N73" t="s">
        <v>38</v>
      </c>
      <c r="O73" t="s">
        <v>16</v>
      </c>
      <c r="P73" t="s">
        <v>25</v>
      </c>
      <c r="Q73" t="s">
        <v>39</v>
      </c>
      <c r="R73" s="1">
        <v>25.503615700000001</v>
      </c>
    </row>
    <row r="74" spans="1:18" x14ac:dyDescent="0.25">
      <c r="A74" t="s">
        <v>83</v>
      </c>
      <c r="B74" t="s">
        <v>36</v>
      </c>
      <c r="C74">
        <v>168</v>
      </c>
      <c r="D74">
        <v>73</v>
      </c>
      <c r="E74" t="s">
        <v>5</v>
      </c>
      <c r="F74" t="s">
        <v>11</v>
      </c>
      <c r="G74" t="s">
        <v>20</v>
      </c>
      <c r="H74" t="s">
        <v>44</v>
      </c>
      <c r="I74" t="s">
        <v>22</v>
      </c>
      <c r="J74" t="s">
        <v>23</v>
      </c>
      <c r="K74" t="s">
        <v>12</v>
      </c>
      <c r="L74" t="s">
        <v>19</v>
      </c>
      <c r="M74" t="s">
        <v>53</v>
      </c>
      <c r="N74" t="s">
        <v>46</v>
      </c>
      <c r="O74" t="s">
        <v>16</v>
      </c>
      <c r="P74" t="s">
        <v>25</v>
      </c>
      <c r="Q74" t="s">
        <v>18</v>
      </c>
      <c r="R74" s="1">
        <v>25.864512470000001</v>
      </c>
    </row>
    <row r="75" spans="1:18" x14ac:dyDescent="0.25">
      <c r="A75" t="s">
        <v>83</v>
      </c>
      <c r="B75" t="s">
        <v>36</v>
      </c>
      <c r="C75">
        <v>170</v>
      </c>
      <c r="D75">
        <v>80</v>
      </c>
      <c r="E75" t="s">
        <v>5</v>
      </c>
      <c r="F75" t="s">
        <v>11</v>
      </c>
      <c r="G75" t="s">
        <v>19</v>
      </c>
      <c r="H75" t="s">
        <v>30</v>
      </c>
      <c r="I75" t="s">
        <v>22</v>
      </c>
      <c r="J75" t="s">
        <v>23</v>
      </c>
      <c r="K75" t="s">
        <v>52</v>
      </c>
      <c r="L75" t="s">
        <v>19</v>
      </c>
      <c r="M75" t="s">
        <v>14</v>
      </c>
      <c r="N75" t="s">
        <v>46</v>
      </c>
      <c r="O75" t="s">
        <v>16</v>
      </c>
      <c r="P75" t="s">
        <v>80</v>
      </c>
      <c r="Q75" t="s">
        <v>42</v>
      </c>
      <c r="R75" s="1">
        <v>27.681660900000001</v>
      </c>
    </row>
    <row r="76" spans="1:18" x14ac:dyDescent="0.25">
      <c r="A76" t="s">
        <v>83</v>
      </c>
      <c r="B76" t="s">
        <v>36</v>
      </c>
      <c r="C76">
        <v>167</v>
      </c>
      <c r="D76">
        <v>88</v>
      </c>
      <c r="E76" t="s">
        <v>5</v>
      </c>
      <c r="F76" t="s">
        <v>6</v>
      </c>
      <c r="G76" t="s">
        <v>20</v>
      </c>
      <c r="H76" t="s">
        <v>21</v>
      </c>
      <c r="I76" t="s">
        <v>22</v>
      </c>
      <c r="J76" t="s">
        <v>23</v>
      </c>
      <c r="K76" t="s">
        <v>62</v>
      </c>
      <c r="L76" t="s">
        <v>32</v>
      </c>
      <c r="M76" t="s">
        <v>37</v>
      </c>
      <c r="N76" t="s">
        <v>38</v>
      </c>
      <c r="O76" t="s">
        <v>16</v>
      </c>
      <c r="P76" t="s">
        <v>48</v>
      </c>
      <c r="Q76" t="s">
        <v>26</v>
      </c>
      <c r="R76" s="1">
        <v>31.553659150000001</v>
      </c>
    </row>
    <row r="77" spans="1:18" x14ac:dyDescent="0.25">
      <c r="A77" t="s">
        <v>83</v>
      </c>
      <c r="B77" t="s">
        <v>4</v>
      </c>
      <c r="C77">
        <v>165</v>
      </c>
      <c r="D77">
        <v>69</v>
      </c>
      <c r="E77" t="s">
        <v>54</v>
      </c>
      <c r="F77" t="s">
        <v>19</v>
      </c>
      <c r="G77" t="s">
        <v>20</v>
      </c>
      <c r="H77" t="s">
        <v>30</v>
      </c>
      <c r="I77" t="s">
        <v>22</v>
      </c>
      <c r="J77" t="s">
        <v>23</v>
      </c>
      <c r="K77" t="s">
        <v>28</v>
      </c>
      <c r="L77" t="s">
        <v>24</v>
      </c>
      <c r="M77" t="s">
        <v>14</v>
      </c>
      <c r="N77" t="s">
        <v>15</v>
      </c>
      <c r="O77" t="s">
        <v>16</v>
      </c>
      <c r="P77" t="s">
        <v>35</v>
      </c>
      <c r="Q77" t="s">
        <v>26</v>
      </c>
      <c r="R77" s="1">
        <v>25.344352619999999</v>
      </c>
    </row>
    <row r="78" spans="1:18" x14ac:dyDescent="0.25">
      <c r="A78" t="s">
        <v>83</v>
      </c>
      <c r="B78" t="s">
        <v>36</v>
      </c>
      <c r="C78">
        <v>157</v>
      </c>
      <c r="D78">
        <v>45</v>
      </c>
      <c r="E78" t="s">
        <v>54</v>
      </c>
      <c r="F78" t="s">
        <v>11</v>
      </c>
      <c r="G78" t="s">
        <v>20</v>
      </c>
      <c r="H78" t="s">
        <v>21</v>
      </c>
      <c r="I78" t="s">
        <v>14</v>
      </c>
      <c r="J78" t="s">
        <v>23</v>
      </c>
      <c r="K78" t="s">
        <v>12</v>
      </c>
      <c r="L78" t="s">
        <v>24</v>
      </c>
      <c r="M78" t="s">
        <v>14</v>
      </c>
      <c r="N78" t="s">
        <v>15</v>
      </c>
      <c r="O78" t="s">
        <v>55</v>
      </c>
      <c r="P78" t="s">
        <v>71</v>
      </c>
      <c r="Q78" t="s">
        <v>26</v>
      </c>
      <c r="R78" s="1">
        <v>18.256318709999999</v>
      </c>
    </row>
    <row r="79" spans="1:18" x14ac:dyDescent="0.25">
      <c r="A79" t="s">
        <v>83</v>
      </c>
      <c r="B79" t="s">
        <v>36</v>
      </c>
      <c r="C79">
        <v>165</v>
      </c>
      <c r="D79">
        <v>48</v>
      </c>
      <c r="E79" t="s">
        <v>54</v>
      </c>
      <c r="F79" t="s">
        <v>11</v>
      </c>
      <c r="G79" t="s">
        <v>20</v>
      </c>
      <c r="H79" t="s">
        <v>21</v>
      </c>
      <c r="I79" t="s">
        <v>139</v>
      </c>
      <c r="J79" t="s">
        <v>23</v>
      </c>
      <c r="K79" t="s">
        <v>52</v>
      </c>
      <c r="L79" t="s">
        <v>24</v>
      </c>
      <c r="M79" t="s">
        <v>53</v>
      </c>
      <c r="N79" t="s">
        <v>38</v>
      </c>
      <c r="O79" t="s">
        <v>34</v>
      </c>
      <c r="P79" t="s">
        <v>49</v>
      </c>
      <c r="Q79" t="s">
        <v>42</v>
      </c>
      <c r="R79" s="1">
        <v>17.630853989999999</v>
      </c>
    </row>
    <row r="80" spans="1:18" x14ac:dyDescent="0.25">
      <c r="A80" t="s">
        <v>83</v>
      </c>
      <c r="B80" t="s">
        <v>36</v>
      </c>
      <c r="C80">
        <v>165</v>
      </c>
      <c r="D80">
        <v>56</v>
      </c>
      <c r="E80" t="s">
        <v>54</v>
      </c>
      <c r="F80" t="s">
        <v>7</v>
      </c>
      <c r="G80" t="s">
        <v>19</v>
      </c>
      <c r="H80" t="s">
        <v>9</v>
      </c>
      <c r="I80" t="s">
        <v>140</v>
      </c>
      <c r="J80" t="s">
        <v>43</v>
      </c>
      <c r="K80" t="s">
        <v>14</v>
      </c>
      <c r="L80" t="s">
        <v>44</v>
      </c>
      <c r="M80" t="s">
        <v>37</v>
      </c>
      <c r="N80" t="s">
        <v>15</v>
      </c>
      <c r="O80" t="s">
        <v>55</v>
      </c>
      <c r="P80" t="s">
        <v>80</v>
      </c>
      <c r="Q80" t="s">
        <v>26</v>
      </c>
      <c r="R80" s="1">
        <v>20.569329660000001</v>
      </c>
    </row>
    <row r="81" spans="1:18" x14ac:dyDescent="0.25">
      <c r="A81" t="s">
        <v>83</v>
      </c>
      <c r="B81" t="s">
        <v>4</v>
      </c>
      <c r="C81">
        <v>156</v>
      </c>
      <c r="D81">
        <v>63</v>
      </c>
      <c r="E81" t="s">
        <v>54</v>
      </c>
      <c r="F81" t="s">
        <v>7</v>
      </c>
      <c r="G81" t="s">
        <v>20</v>
      </c>
      <c r="H81" t="s">
        <v>21</v>
      </c>
      <c r="I81" t="s">
        <v>22</v>
      </c>
      <c r="J81" t="s">
        <v>23</v>
      </c>
      <c r="K81" t="s">
        <v>12</v>
      </c>
      <c r="L81" t="s">
        <v>19</v>
      </c>
      <c r="M81" t="s">
        <v>37</v>
      </c>
      <c r="N81" t="s">
        <v>65</v>
      </c>
      <c r="O81" t="s">
        <v>55</v>
      </c>
      <c r="P81" t="s">
        <v>48</v>
      </c>
      <c r="Q81" t="s">
        <v>42</v>
      </c>
      <c r="R81" s="1">
        <v>25.887573960000001</v>
      </c>
    </row>
    <row r="82" spans="1:18" x14ac:dyDescent="0.25">
      <c r="A82" t="s">
        <v>83</v>
      </c>
      <c r="B82" t="s">
        <v>36</v>
      </c>
      <c r="C82">
        <v>170</v>
      </c>
      <c r="D82">
        <v>60</v>
      </c>
      <c r="E82" t="s">
        <v>54</v>
      </c>
      <c r="F82" t="s">
        <v>11</v>
      </c>
      <c r="G82" t="s">
        <v>20</v>
      </c>
      <c r="H82" t="s">
        <v>21</v>
      </c>
      <c r="I82" t="s">
        <v>139</v>
      </c>
      <c r="J82" t="s">
        <v>11</v>
      </c>
      <c r="K82" t="s">
        <v>62</v>
      </c>
      <c r="L82" t="s">
        <v>32</v>
      </c>
      <c r="M82" t="s">
        <v>45</v>
      </c>
      <c r="N82" t="s">
        <v>15</v>
      </c>
      <c r="O82" t="s">
        <v>16</v>
      </c>
      <c r="P82" t="s">
        <v>25</v>
      </c>
      <c r="Q82" t="s">
        <v>26</v>
      </c>
      <c r="R82" s="1">
        <v>18.078512400000001</v>
      </c>
    </row>
    <row r="83" spans="1:18" x14ac:dyDescent="0.25">
      <c r="A83" t="s">
        <v>83</v>
      </c>
      <c r="B83" t="s">
        <v>4</v>
      </c>
      <c r="C83">
        <v>169</v>
      </c>
      <c r="D83">
        <v>57</v>
      </c>
      <c r="E83" t="s">
        <v>54</v>
      </c>
      <c r="F83" t="s">
        <v>11</v>
      </c>
      <c r="G83" t="s">
        <v>20</v>
      </c>
      <c r="H83" t="s">
        <v>44</v>
      </c>
      <c r="I83" t="s">
        <v>22</v>
      </c>
      <c r="J83" t="s">
        <v>23</v>
      </c>
      <c r="K83" t="s">
        <v>52</v>
      </c>
      <c r="L83" t="s">
        <v>19</v>
      </c>
      <c r="M83" t="s">
        <v>14</v>
      </c>
      <c r="N83" t="s">
        <v>46</v>
      </c>
      <c r="O83" t="s">
        <v>16</v>
      </c>
      <c r="P83" t="s">
        <v>48</v>
      </c>
      <c r="Q83" t="s">
        <v>26</v>
      </c>
      <c r="R83" s="1">
        <v>28.734672060000001</v>
      </c>
    </row>
    <row r="84" spans="1:18" x14ac:dyDescent="0.25">
      <c r="A84" t="s">
        <v>83</v>
      </c>
      <c r="B84" t="s">
        <v>36</v>
      </c>
      <c r="C84">
        <v>162</v>
      </c>
      <c r="D84">
        <v>53</v>
      </c>
      <c r="E84" t="s">
        <v>66</v>
      </c>
      <c r="F84" t="s">
        <v>11</v>
      </c>
      <c r="G84" t="s">
        <v>19</v>
      </c>
      <c r="H84" t="s">
        <v>30</v>
      </c>
      <c r="I84" t="s">
        <v>129</v>
      </c>
      <c r="J84" t="s">
        <v>23</v>
      </c>
      <c r="K84" t="s">
        <v>84</v>
      </c>
      <c r="L84" t="s">
        <v>32</v>
      </c>
      <c r="M84" t="s">
        <v>45</v>
      </c>
      <c r="N84" t="s">
        <v>15</v>
      </c>
      <c r="O84" t="s">
        <v>55</v>
      </c>
      <c r="P84" t="s">
        <v>85</v>
      </c>
      <c r="Q84" t="s">
        <v>18</v>
      </c>
      <c r="R84" s="1">
        <v>19.377162630000001</v>
      </c>
    </row>
    <row r="85" spans="1:18" x14ac:dyDescent="0.25">
      <c r="A85" t="s">
        <v>83</v>
      </c>
      <c r="B85" t="s">
        <v>4</v>
      </c>
      <c r="C85">
        <v>172</v>
      </c>
      <c r="D85">
        <v>66</v>
      </c>
      <c r="E85" t="s">
        <v>54</v>
      </c>
      <c r="F85" t="s">
        <v>6</v>
      </c>
      <c r="G85" t="s">
        <v>20</v>
      </c>
      <c r="H85" t="s">
        <v>9</v>
      </c>
      <c r="I85" t="s">
        <v>125</v>
      </c>
      <c r="J85" t="s">
        <v>11</v>
      </c>
      <c r="K85" t="s">
        <v>86</v>
      </c>
      <c r="L85" t="s">
        <v>13</v>
      </c>
      <c r="M85" t="s">
        <v>87</v>
      </c>
      <c r="N85" t="s">
        <v>65</v>
      </c>
      <c r="O85" t="s">
        <v>58</v>
      </c>
      <c r="P85" t="s">
        <v>14</v>
      </c>
      <c r="Q85" t="s">
        <v>39</v>
      </c>
      <c r="R85" s="1">
        <v>21.98989237</v>
      </c>
    </row>
    <row r="86" spans="1:18" x14ac:dyDescent="0.25">
      <c r="A86" t="s">
        <v>83</v>
      </c>
      <c r="B86" t="s">
        <v>4</v>
      </c>
      <c r="C86">
        <v>163</v>
      </c>
      <c r="D86">
        <v>93</v>
      </c>
      <c r="E86" t="s">
        <v>5</v>
      </c>
      <c r="F86" t="s">
        <v>6</v>
      </c>
      <c r="G86" t="s">
        <v>44</v>
      </c>
      <c r="H86" t="s">
        <v>9</v>
      </c>
      <c r="I86" t="s">
        <v>125</v>
      </c>
      <c r="J86" t="s">
        <v>43</v>
      </c>
      <c r="K86" t="s">
        <v>14</v>
      </c>
      <c r="L86" t="s">
        <v>44</v>
      </c>
      <c r="M86" t="s">
        <v>88</v>
      </c>
      <c r="N86" t="s">
        <v>38</v>
      </c>
      <c r="O86" t="s">
        <v>55</v>
      </c>
      <c r="P86" t="s">
        <v>48</v>
      </c>
      <c r="Q86" t="s">
        <v>26</v>
      </c>
      <c r="R86" s="1">
        <v>21.146319909999999</v>
      </c>
    </row>
    <row r="87" spans="1:18" x14ac:dyDescent="0.25">
      <c r="A87" t="s">
        <v>83</v>
      </c>
      <c r="B87" t="s">
        <v>4</v>
      </c>
      <c r="C87">
        <v>165</v>
      </c>
      <c r="D87">
        <v>72</v>
      </c>
      <c r="E87" t="s">
        <v>5</v>
      </c>
      <c r="F87" t="s">
        <v>19</v>
      </c>
      <c r="G87" t="s">
        <v>44</v>
      </c>
      <c r="H87" t="s">
        <v>9</v>
      </c>
      <c r="I87" t="s">
        <v>69</v>
      </c>
      <c r="J87" t="s">
        <v>43</v>
      </c>
      <c r="K87" t="s">
        <v>14</v>
      </c>
      <c r="L87" t="s">
        <v>44</v>
      </c>
      <c r="M87" t="s">
        <v>37</v>
      </c>
      <c r="N87" t="s">
        <v>65</v>
      </c>
      <c r="O87" t="s">
        <v>55</v>
      </c>
      <c r="P87" t="s">
        <v>14</v>
      </c>
      <c r="Q87" t="s">
        <v>26</v>
      </c>
      <c r="R87" s="1">
        <v>25.721032210000001</v>
      </c>
    </row>
    <row r="88" spans="1:18" x14ac:dyDescent="0.25">
      <c r="A88" t="s">
        <v>83</v>
      </c>
      <c r="B88" t="s">
        <v>4</v>
      </c>
      <c r="C88">
        <v>171</v>
      </c>
      <c r="D88">
        <v>95</v>
      </c>
      <c r="E88" t="s">
        <v>5</v>
      </c>
      <c r="F88" t="s">
        <v>6</v>
      </c>
      <c r="G88" t="s">
        <v>44</v>
      </c>
      <c r="H88" t="s">
        <v>9</v>
      </c>
      <c r="I88" t="s">
        <v>125</v>
      </c>
      <c r="J88" t="s">
        <v>43</v>
      </c>
      <c r="K88" t="s">
        <v>14</v>
      </c>
      <c r="L88" t="s">
        <v>44</v>
      </c>
      <c r="M88" t="s">
        <v>88</v>
      </c>
      <c r="N88" t="s">
        <v>38</v>
      </c>
      <c r="O88" t="s">
        <v>55</v>
      </c>
      <c r="P88" t="s">
        <v>48</v>
      </c>
      <c r="Q88" t="s">
        <v>26</v>
      </c>
      <c r="R88" s="1">
        <v>20.983987599999999</v>
      </c>
    </row>
    <row r="89" spans="1:18" x14ac:dyDescent="0.25">
      <c r="A89" t="s">
        <v>83</v>
      </c>
      <c r="B89" t="s">
        <v>4</v>
      </c>
      <c r="C89">
        <v>175</v>
      </c>
      <c r="D89">
        <v>69</v>
      </c>
      <c r="E89" t="s">
        <v>54</v>
      </c>
      <c r="F89" t="s">
        <v>6</v>
      </c>
      <c r="G89" t="s">
        <v>20</v>
      </c>
      <c r="H89" t="s">
        <v>9</v>
      </c>
      <c r="I89" t="s">
        <v>125</v>
      </c>
      <c r="J89" t="s">
        <v>11</v>
      </c>
      <c r="K89" t="s">
        <v>86</v>
      </c>
      <c r="L89" t="s">
        <v>13</v>
      </c>
      <c r="M89" t="s">
        <v>87</v>
      </c>
      <c r="N89" t="s">
        <v>65</v>
      </c>
      <c r="O89" t="s">
        <v>58</v>
      </c>
      <c r="P89" t="s">
        <v>14</v>
      </c>
      <c r="Q89" t="s">
        <v>39</v>
      </c>
      <c r="R89" s="1">
        <v>21.77384236</v>
      </c>
    </row>
    <row r="90" spans="1:18" x14ac:dyDescent="0.25">
      <c r="A90" t="s">
        <v>83</v>
      </c>
      <c r="B90" t="s">
        <v>36</v>
      </c>
      <c r="C90">
        <v>159</v>
      </c>
      <c r="D90">
        <v>59</v>
      </c>
      <c r="E90" t="s">
        <v>5</v>
      </c>
      <c r="F90" t="s">
        <v>7</v>
      </c>
      <c r="G90" t="s">
        <v>11</v>
      </c>
      <c r="H90" t="s">
        <v>72</v>
      </c>
      <c r="I90" t="s">
        <v>14</v>
      </c>
      <c r="J90" t="s">
        <v>43</v>
      </c>
      <c r="K90" t="s">
        <v>14</v>
      </c>
      <c r="L90" t="s">
        <v>44</v>
      </c>
      <c r="M90" t="s">
        <v>89</v>
      </c>
      <c r="N90" t="s">
        <v>38</v>
      </c>
      <c r="O90" t="s">
        <v>58</v>
      </c>
      <c r="P90" t="s">
        <v>14</v>
      </c>
      <c r="Q90" t="s">
        <v>26</v>
      </c>
      <c r="R90" s="1">
        <v>20.177148519999999</v>
      </c>
    </row>
    <row r="91" spans="1:18" x14ac:dyDescent="0.25">
      <c r="A91" t="s">
        <v>83</v>
      </c>
      <c r="B91" t="s">
        <v>36</v>
      </c>
      <c r="C91">
        <v>171</v>
      </c>
      <c r="D91">
        <v>59</v>
      </c>
      <c r="E91" t="s">
        <v>5</v>
      </c>
      <c r="F91" t="s">
        <v>7</v>
      </c>
      <c r="G91" t="s">
        <v>8</v>
      </c>
      <c r="H91" t="s">
        <v>72</v>
      </c>
      <c r="I91" t="s">
        <v>10</v>
      </c>
      <c r="J91" t="s">
        <v>11</v>
      </c>
      <c r="K91" t="s">
        <v>12</v>
      </c>
      <c r="L91" t="s">
        <v>13</v>
      </c>
      <c r="M91" t="s">
        <v>45</v>
      </c>
      <c r="N91" t="s">
        <v>15</v>
      </c>
      <c r="O91" t="s">
        <v>34</v>
      </c>
      <c r="P91" t="s">
        <v>80</v>
      </c>
      <c r="Q91" t="s">
        <v>44</v>
      </c>
      <c r="R91" s="1">
        <v>34.250442239999998</v>
      </c>
    </row>
    <row r="92" spans="1:18" x14ac:dyDescent="0.25">
      <c r="A92" t="s">
        <v>83</v>
      </c>
      <c r="B92" t="s">
        <v>4</v>
      </c>
      <c r="C92">
        <v>163</v>
      </c>
      <c r="D92">
        <v>91</v>
      </c>
      <c r="E92" t="s">
        <v>5</v>
      </c>
      <c r="F92" t="s">
        <v>6</v>
      </c>
      <c r="G92" t="s">
        <v>44</v>
      </c>
      <c r="H92" t="s">
        <v>9</v>
      </c>
      <c r="I92" t="s">
        <v>125</v>
      </c>
      <c r="J92" t="s">
        <v>43</v>
      </c>
      <c r="K92" t="s">
        <v>14</v>
      </c>
      <c r="L92" t="s">
        <v>44</v>
      </c>
      <c r="M92" t="s">
        <v>88</v>
      </c>
      <c r="N92" t="s">
        <v>38</v>
      </c>
      <c r="O92" t="s">
        <v>55</v>
      </c>
      <c r="P92" t="s">
        <v>48</v>
      </c>
      <c r="Q92" t="s">
        <v>26</v>
      </c>
      <c r="R92" s="1">
        <v>21.629648759999998</v>
      </c>
    </row>
    <row r="93" spans="1:18" x14ac:dyDescent="0.25">
      <c r="A93" t="s">
        <v>83</v>
      </c>
      <c r="B93" t="s">
        <v>36</v>
      </c>
      <c r="C93">
        <v>167</v>
      </c>
      <c r="D93">
        <v>42</v>
      </c>
      <c r="E93" t="s">
        <v>5</v>
      </c>
      <c r="F93" t="s">
        <v>11</v>
      </c>
      <c r="G93" t="s">
        <v>44</v>
      </c>
      <c r="H93" t="s">
        <v>27</v>
      </c>
      <c r="I93" t="s">
        <v>14</v>
      </c>
      <c r="J93" t="s">
        <v>11</v>
      </c>
      <c r="K93" t="s">
        <v>12</v>
      </c>
      <c r="L93" t="s">
        <v>13</v>
      </c>
      <c r="M93" t="s">
        <v>14</v>
      </c>
      <c r="N93" t="s">
        <v>15</v>
      </c>
      <c r="O93" t="s">
        <v>16</v>
      </c>
      <c r="P93" t="s">
        <v>29</v>
      </c>
      <c r="Q93" t="s">
        <v>42</v>
      </c>
      <c r="R93" s="1">
        <v>21.67211013</v>
      </c>
    </row>
    <row r="94" spans="1:18" x14ac:dyDescent="0.25">
      <c r="A94" t="s">
        <v>83</v>
      </c>
      <c r="B94" t="s">
        <v>4</v>
      </c>
      <c r="C94">
        <v>181</v>
      </c>
      <c r="D94">
        <v>71</v>
      </c>
      <c r="E94" t="s">
        <v>5</v>
      </c>
      <c r="F94" t="s">
        <v>11</v>
      </c>
      <c r="G94" t="s">
        <v>8</v>
      </c>
      <c r="H94" t="s">
        <v>72</v>
      </c>
      <c r="I94" t="s">
        <v>90</v>
      </c>
      <c r="J94" t="s">
        <v>43</v>
      </c>
      <c r="K94" t="s">
        <v>14</v>
      </c>
      <c r="L94" t="s">
        <v>44</v>
      </c>
      <c r="M94" t="s">
        <v>91</v>
      </c>
      <c r="N94" t="s">
        <v>15</v>
      </c>
      <c r="O94" t="s">
        <v>55</v>
      </c>
      <c r="P94" t="s">
        <v>25</v>
      </c>
      <c r="Q94" t="s">
        <v>39</v>
      </c>
      <c r="R94" s="1">
        <v>25.458065900000001</v>
      </c>
    </row>
    <row r="95" spans="1:18" x14ac:dyDescent="0.25">
      <c r="A95" t="s">
        <v>83</v>
      </c>
      <c r="B95" t="s">
        <v>4</v>
      </c>
      <c r="C95">
        <v>167</v>
      </c>
      <c r="D95">
        <v>71</v>
      </c>
      <c r="E95" t="s">
        <v>5</v>
      </c>
      <c r="F95" t="s">
        <v>19</v>
      </c>
      <c r="G95" t="s">
        <v>44</v>
      </c>
      <c r="H95" t="s">
        <v>9</v>
      </c>
      <c r="I95" t="s">
        <v>69</v>
      </c>
      <c r="J95" t="s">
        <v>43</v>
      </c>
      <c r="K95" t="s">
        <v>14</v>
      </c>
      <c r="L95" t="s">
        <v>44</v>
      </c>
      <c r="M95" t="s">
        <v>37</v>
      </c>
      <c r="N95" t="s">
        <v>65</v>
      </c>
      <c r="O95" t="s">
        <v>55</v>
      </c>
      <c r="P95" t="s">
        <v>14</v>
      </c>
      <c r="Q95" t="s">
        <v>26</v>
      </c>
      <c r="R95" s="1">
        <v>26.986001009999999</v>
      </c>
    </row>
    <row r="96" spans="1:18" hidden="1" x14ac:dyDescent="0.25">
      <c r="A96" t="s">
        <v>83</v>
      </c>
      <c r="B96" t="s">
        <v>4</v>
      </c>
      <c r="C96">
        <v>165</v>
      </c>
      <c r="D96">
        <v>72</v>
      </c>
      <c r="E96" t="s">
        <v>5</v>
      </c>
      <c r="F96" t="s">
        <v>19</v>
      </c>
      <c r="G96" t="s">
        <v>44</v>
      </c>
      <c r="H96" t="s">
        <v>9</v>
      </c>
      <c r="I96" t="s">
        <v>69</v>
      </c>
      <c r="J96" t="s">
        <v>43</v>
      </c>
      <c r="K96" t="s">
        <v>14</v>
      </c>
      <c r="L96" t="s">
        <v>44</v>
      </c>
      <c r="M96" t="s">
        <v>37</v>
      </c>
      <c r="N96" t="s">
        <v>65</v>
      </c>
      <c r="O96" t="s">
        <v>55</v>
      </c>
      <c r="P96" t="s">
        <v>14</v>
      </c>
      <c r="Q96" t="s">
        <v>26</v>
      </c>
    </row>
    <row r="97" spans="1:18" hidden="1" x14ac:dyDescent="0.25">
      <c r="A97" t="s">
        <v>83</v>
      </c>
      <c r="B97" t="s">
        <v>4</v>
      </c>
      <c r="C97">
        <v>171</v>
      </c>
      <c r="D97">
        <v>95</v>
      </c>
      <c r="E97" t="s">
        <v>5</v>
      </c>
      <c r="F97" t="s">
        <v>6</v>
      </c>
      <c r="G97" t="s">
        <v>44</v>
      </c>
      <c r="H97" t="s">
        <v>9</v>
      </c>
      <c r="I97" t="s">
        <v>125</v>
      </c>
      <c r="J97" t="s">
        <v>43</v>
      </c>
      <c r="K97" t="s">
        <v>14</v>
      </c>
      <c r="L97" t="s">
        <v>44</v>
      </c>
      <c r="M97" t="s">
        <v>88</v>
      </c>
      <c r="N97" t="s">
        <v>38</v>
      </c>
      <c r="O97" t="s">
        <v>55</v>
      </c>
      <c r="P97" t="s">
        <v>48</v>
      </c>
      <c r="Q97" t="s">
        <v>26</v>
      </c>
    </row>
    <row r="98" spans="1:18" hidden="1" x14ac:dyDescent="0.25">
      <c r="A98" t="s">
        <v>83</v>
      </c>
      <c r="B98" t="s">
        <v>4</v>
      </c>
      <c r="C98">
        <v>175</v>
      </c>
      <c r="D98">
        <v>69</v>
      </c>
      <c r="E98" t="s">
        <v>54</v>
      </c>
      <c r="F98" t="s">
        <v>6</v>
      </c>
      <c r="G98" t="s">
        <v>20</v>
      </c>
      <c r="H98" t="s">
        <v>9</v>
      </c>
      <c r="I98" t="s">
        <v>125</v>
      </c>
      <c r="J98" t="s">
        <v>11</v>
      </c>
      <c r="K98" t="s">
        <v>86</v>
      </c>
      <c r="L98" t="s">
        <v>13</v>
      </c>
      <c r="M98" t="s">
        <v>87</v>
      </c>
      <c r="N98" t="s">
        <v>65</v>
      </c>
      <c r="O98" t="s">
        <v>58</v>
      </c>
      <c r="P98" t="s">
        <v>14</v>
      </c>
      <c r="Q98" t="s">
        <v>39</v>
      </c>
    </row>
    <row r="99" spans="1:18" hidden="1" x14ac:dyDescent="0.25">
      <c r="A99" t="s">
        <v>83</v>
      </c>
      <c r="B99" t="s">
        <v>36</v>
      </c>
      <c r="C99">
        <v>159</v>
      </c>
      <c r="D99">
        <v>59</v>
      </c>
      <c r="E99" t="s">
        <v>5</v>
      </c>
      <c r="F99" t="s">
        <v>7</v>
      </c>
      <c r="G99" t="s">
        <v>11</v>
      </c>
      <c r="H99" t="s">
        <v>72</v>
      </c>
      <c r="I99" t="s">
        <v>14</v>
      </c>
      <c r="J99" t="s">
        <v>43</v>
      </c>
      <c r="K99" t="s">
        <v>14</v>
      </c>
      <c r="L99" t="s">
        <v>44</v>
      </c>
      <c r="M99" t="s">
        <v>89</v>
      </c>
      <c r="N99" t="s">
        <v>38</v>
      </c>
      <c r="O99" t="s">
        <v>58</v>
      </c>
      <c r="P99" t="s">
        <v>14</v>
      </c>
      <c r="Q99" t="s">
        <v>26</v>
      </c>
    </row>
    <row r="100" spans="1:18" hidden="1" x14ac:dyDescent="0.25">
      <c r="A100" t="s">
        <v>83</v>
      </c>
      <c r="B100" t="s">
        <v>36</v>
      </c>
      <c r="C100">
        <v>171</v>
      </c>
      <c r="D100">
        <v>59</v>
      </c>
      <c r="E100" t="s">
        <v>5</v>
      </c>
      <c r="F100" t="s">
        <v>7</v>
      </c>
      <c r="G100" t="s">
        <v>8</v>
      </c>
      <c r="H100" t="s">
        <v>72</v>
      </c>
      <c r="I100" t="s">
        <v>10</v>
      </c>
      <c r="J100" t="s">
        <v>11</v>
      </c>
      <c r="K100" t="s">
        <v>12</v>
      </c>
      <c r="L100" t="s">
        <v>13</v>
      </c>
      <c r="M100" t="s">
        <v>45</v>
      </c>
      <c r="N100" t="s">
        <v>15</v>
      </c>
      <c r="O100" t="s">
        <v>34</v>
      </c>
      <c r="P100" t="s">
        <v>80</v>
      </c>
      <c r="Q100" t="s">
        <v>44</v>
      </c>
    </row>
    <row r="101" spans="1:18" hidden="1" x14ac:dyDescent="0.25">
      <c r="A101" t="s">
        <v>83</v>
      </c>
      <c r="B101" t="s">
        <v>4</v>
      </c>
      <c r="C101">
        <v>163</v>
      </c>
      <c r="D101">
        <v>91</v>
      </c>
      <c r="E101" t="s">
        <v>5</v>
      </c>
      <c r="F101" t="s">
        <v>6</v>
      </c>
      <c r="G101" t="s">
        <v>44</v>
      </c>
      <c r="H101" t="s">
        <v>9</v>
      </c>
      <c r="I101" t="s">
        <v>125</v>
      </c>
      <c r="J101" t="s">
        <v>43</v>
      </c>
      <c r="K101" t="s">
        <v>14</v>
      </c>
      <c r="L101" t="s">
        <v>44</v>
      </c>
      <c r="M101" t="s">
        <v>88</v>
      </c>
      <c r="N101" t="s">
        <v>38</v>
      </c>
      <c r="O101" t="s">
        <v>55</v>
      </c>
      <c r="P101" t="s">
        <v>48</v>
      </c>
      <c r="Q101" t="s">
        <v>26</v>
      </c>
    </row>
    <row r="102" spans="1:18" hidden="1" x14ac:dyDescent="0.25">
      <c r="A102" t="s">
        <v>83</v>
      </c>
      <c r="B102" t="s">
        <v>36</v>
      </c>
      <c r="C102">
        <v>167</v>
      </c>
      <c r="D102">
        <v>42</v>
      </c>
      <c r="E102" t="s">
        <v>5</v>
      </c>
      <c r="F102" t="s">
        <v>11</v>
      </c>
      <c r="G102" t="s">
        <v>44</v>
      </c>
      <c r="H102" t="s">
        <v>27</v>
      </c>
      <c r="I102" t="s">
        <v>14</v>
      </c>
      <c r="J102" t="s">
        <v>11</v>
      </c>
      <c r="K102" t="s">
        <v>12</v>
      </c>
      <c r="L102" t="s">
        <v>13</v>
      </c>
      <c r="M102" t="s">
        <v>14</v>
      </c>
      <c r="N102" t="s">
        <v>15</v>
      </c>
      <c r="O102" t="s">
        <v>16</v>
      </c>
      <c r="P102" t="s">
        <v>29</v>
      </c>
      <c r="Q102" t="s">
        <v>42</v>
      </c>
    </row>
    <row r="103" spans="1:18" hidden="1" x14ac:dyDescent="0.25">
      <c r="A103" t="s">
        <v>83</v>
      </c>
      <c r="B103" t="s">
        <v>4</v>
      </c>
      <c r="C103">
        <v>181</v>
      </c>
      <c r="D103">
        <v>71</v>
      </c>
      <c r="E103" t="s">
        <v>5</v>
      </c>
      <c r="F103" t="s">
        <v>11</v>
      </c>
      <c r="G103" t="s">
        <v>8</v>
      </c>
      <c r="H103" t="s">
        <v>72</v>
      </c>
      <c r="I103" t="s">
        <v>90</v>
      </c>
      <c r="J103" t="s">
        <v>43</v>
      </c>
      <c r="K103" t="s">
        <v>14</v>
      </c>
      <c r="L103" t="s">
        <v>44</v>
      </c>
      <c r="M103" t="s">
        <v>91</v>
      </c>
      <c r="N103" t="s">
        <v>15</v>
      </c>
      <c r="O103" t="s">
        <v>55</v>
      </c>
      <c r="P103" t="s">
        <v>25</v>
      </c>
      <c r="Q103" t="s">
        <v>39</v>
      </c>
    </row>
    <row r="104" spans="1:18" hidden="1" x14ac:dyDescent="0.25">
      <c r="A104" t="s">
        <v>83</v>
      </c>
      <c r="B104" t="s">
        <v>4</v>
      </c>
      <c r="C104">
        <v>167</v>
      </c>
      <c r="D104">
        <v>71</v>
      </c>
      <c r="E104" t="s">
        <v>5</v>
      </c>
      <c r="F104" t="s">
        <v>19</v>
      </c>
      <c r="G104" t="s">
        <v>44</v>
      </c>
      <c r="H104" t="s">
        <v>9</v>
      </c>
      <c r="I104" t="s">
        <v>69</v>
      </c>
      <c r="J104" t="s">
        <v>43</v>
      </c>
      <c r="K104" t="s">
        <v>14</v>
      </c>
      <c r="L104" t="s">
        <v>44</v>
      </c>
      <c r="M104" t="s">
        <v>37</v>
      </c>
      <c r="N104" t="s">
        <v>65</v>
      </c>
      <c r="O104" t="s">
        <v>55</v>
      </c>
      <c r="P104" t="s">
        <v>14</v>
      </c>
      <c r="Q104" t="s">
        <v>26</v>
      </c>
    </row>
    <row r="105" spans="1:18" hidden="1" x14ac:dyDescent="0.25">
      <c r="A105" t="s">
        <v>83</v>
      </c>
      <c r="B105" t="s">
        <v>4</v>
      </c>
      <c r="C105">
        <v>172</v>
      </c>
      <c r="D105">
        <v>65</v>
      </c>
      <c r="E105" t="s">
        <v>54</v>
      </c>
      <c r="F105" t="s">
        <v>11</v>
      </c>
      <c r="G105" t="s">
        <v>20</v>
      </c>
      <c r="H105" t="s">
        <v>27</v>
      </c>
      <c r="I105" t="s">
        <v>14</v>
      </c>
      <c r="J105" t="s">
        <v>23</v>
      </c>
      <c r="K105" t="s">
        <v>78</v>
      </c>
      <c r="L105" t="s">
        <v>19</v>
      </c>
      <c r="M105" t="s">
        <v>77</v>
      </c>
      <c r="N105" t="s">
        <v>38</v>
      </c>
      <c r="O105" t="s">
        <v>34</v>
      </c>
      <c r="P105" t="s">
        <v>14</v>
      </c>
      <c r="Q105" t="s">
        <v>39</v>
      </c>
    </row>
    <row r="106" spans="1:18" hidden="1" x14ac:dyDescent="0.25">
      <c r="A106" t="s">
        <v>83</v>
      </c>
      <c r="B106" t="s">
        <v>4</v>
      </c>
      <c r="C106">
        <v>180</v>
      </c>
      <c r="D106">
        <v>89</v>
      </c>
      <c r="E106" t="s">
        <v>54</v>
      </c>
      <c r="F106" t="s">
        <v>7</v>
      </c>
      <c r="G106" t="s">
        <v>8</v>
      </c>
      <c r="H106" t="s">
        <v>72</v>
      </c>
      <c r="I106" t="s">
        <v>10</v>
      </c>
      <c r="J106" t="s">
        <v>23</v>
      </c>
      <c r="K106" t="s">
        <v>92</v>
      </c>
      <c r="L106" t="s">
        <v>32</v>
      </c>
      <c r="M106" t="s">
        <v>77</v>
      </c>
      <c r="N106" t="s">
        <v>38</v>
      </c>
      <c r="O106" t="s">
        <v>34</v>
      </c>
      <c r="P106" t="s">
        <v>25</v>
      </c>
      <c r="Q106" t="s">
        <v>39</v>
      </c>
    </row>
    <row r="107" spans="1:18" hidden="1" x14ac:dyDescent="0.25">
      <c r="A107" t="s">
        <v>83</v>
      </c>
      <c r="B107" t="s">
        <v>4</v>
      </c>
      <c r="C107">
        <v>177</v>
      </c>
      <c r="D107">
        <v>93</v>
      </c>
      <c r="E107" t="s">
        <v>54</v>
      </c>
      <c r="F107" t="s">
        <v>7</v>
      </c>
      <c r="G107" t="s">
        <v>8</v>
      </c>
      <c r="H107" t="s">
        <v>21</v>
      </c>
      <c r="I107" t="s">
        <v>14</v>
      </c>
      <c r="J107" t="s">
        <v>23</v>
      </c>
      <c r="K107" t="s">
        <v>50</v>
      </c>
      <c r="L107" t="s">
        <v>32</v>
      </c>
      <c r="M107" t="s">
        <v>93</v>
      </c>
      <c r="N107" t="s">
        <v>38</v>
      </c>
      <c r="O107" t="s">
        <v>58</v>
      </c>
      <c r="P107" t="s">
        <v>14</v>
      </c>
      <c r="Q107" t="s">
        <v>26</v>
      </c>
    </row>
    <row r="108" spans="1:18" hidden="1" x14ac:dyDescent="0.25">
      <c r="A108" t="s">
        <v>83</v>
      </c>
      <c r="B108" t="s">
        <v>36</v>
      </c>
      <c r="C108">
        <v>164</v>
      </c>
      <c r="D108">
        <v>54</v>
      </c>
      <c r="E108" t="s">
        <v>5</v>
      </c>
      <c r="F108" t="s">
        <v>7</v>
      </c>
      <c r="G108" t="s">
        <v>20</v>
      </c>
      <c r="H108" t="s">
        <v>21</v>
      </c>
      <c r="I108" t="s">
        <v>14</v>
      </c>
      <c r="J108" t="s">
        <v>23</v>
      </c>
      <c r="K108" t="s">
        <v>50</v>
      </c>
      <c r="L108" t="s">
        <v>19</v>
      </c>
      <c r="M108" t="s">
        <v>14</v>
      </c>
      <c r="N108" t="s">
        <v>15</v>
      </c>
      <c r="O108" t="s">
        <v>16</v>
      </c>
      <c r="P108" t="s">
        <v>49</v>
      </c>
      <c r="Q108" t="s">
        <v>42</v>
      </c>
    </row>
    <row r="109" spans="1:18" hidden="1" x14ac:dyDescent="0.25">
      <c r="A109" t="s">
        <v>83</v>
      </c>
      <c r="B109" t="s">
        <v>36</v>
      </c>
      <c r="C109">
        <v>162</v>
      </c>
      <c r="D109">
        <v>80</v>
      </c>
      <c r="E109" t="s">
        <v>5</v>
      </c>
      <c r="F109" t="s">
        <v>6</v>
      </c>
      <c r="G109" t="s">
        <v>44</v>
      </c>
      <c r="H109" t="s">
        <v>9</v>
      </c>
      <c r="I109" t="s">
        <v>129</v>
      </c>
      <c r="J109" t="s">
        <v>11</v>
      </c>
      <c r="K109" t="s">
        <v>12</v>
      </c>
      <c r="L109" t="s">
        <v>13</v>
      </c>
      <c r="M109" t="s">
        <v>89</v>
      </c>
      <c r="N109" t="s">
        <v>65</v>
      </c>
      <c r="O109" t="s">
        <v>58</v>
      </c>
      <c r="P109" t="s">
        <v>14</v>
      </c>
      <c r="Q109" t="s">
        <v>18</v>
      </c>
    </row>
    <row r="110" spans="1:18" hidden="1" x14ac:dyDescent="0.25">
      <c r="A110" t="s">
        <v>83</v>
      </c>
      <c r="B110" t="s">
        <v>4</v>
      </c>
      <c r="C110">
        <v>181</v>
      </c>
      <c r="D110">
        <v>88</v>
      </c>
      <c r="E110" t="s">
        <v>54</v>
      </c>
      <c r="F110" t="s">
        <v>7</v>
      </c>
      <c r="G110" t="s">
        <v>8</v>
      </c>
      <c r="H110" t="s">
        <v>72</v>
      </c>
      <c r="I110" t="s">
        <v>10</v>
      </c>
      <c r="J110" t="s">
        <v>23</v>
      </c>
      <c r="K110" t="s">
        <v>92</v>
      </c>
      <c r="L110" t="s">
        <v>32</v>
      </c>
      <c r="M110" t="s">
        <v>77</v>
      </c>
      <c r="N110" t="s">
        <v>38</v>
      </c>
      <c r="O110" t="s">
        <v>34</v>
      </c>
      <c r="P110" t="s">
        <v>25</v>
      </c>
      <c r="Q110" t="s">
        <v>39</v>
      </c>
    </row>
    <row r="111" spans="1:18" hidden="1" x14ac:dyDescent="0.25">
      <c r="A111" t="s">
        <v>83</v>
      </c>
      <c r="B111" t="s">
        <v>36</v>
      </c>
      <c r="C111">
        <v>166</v>
      </c>
      <c r="D111">
        <v>53</v>
      </c>
      <c r="E111" t="s">
        <v>5</v>
      </c>
      <c r="F111" t="s">
        <v>7</v>
      </c>
      <c r="G111" t="s">
        <v>20</v>
      </c>
      <c r="H111" t="s">
        <v>21</v>
      </c>
      <c r="I111" t="s">
        <v>14</v>
      </c>
      <c r="J111" t="s">
        <v>23</v>
      </c>
      <c r="K111" t="s">
        <v>50</v>
      </c>
      <c r="L111" t="s">
        <v>19</v>
      </c>
      <c r="M111" t="s">
        <v>14</v>
      </c>
      <c r="N111" t="s">
        <v>15</v>
      </c>
      <c r="O111" t="s">
        <v>16</v>
      </c>
      <c r="P111" t="s">
        <v>49</v>
      </c>
      <c r="Q111" t="s">
        <v>42</v>
      </c>
    </row>
    <row r="112" spans="1:18" x14ac:dyDescent="0.25">
      <c r="A112" t="s">
        <v>94</v>
      </c>
      <c r="B112" t="s">
        <v>4</v>
      </c>
      <c r="C112">
        <v>170</v>
      </c>
      <c r="D112">
        <v>72</v>
      </c>
      <c r="E112" t="s">
        <v>5</v>
      </c>
      <c r="F112" t="s">
        <v>11</v>
      </c>
      <c r="G112" t="s">
        <v>20</v>
      </c>
      <c r="H112" t="s">
        <v>40</v>
      </c>
      <c r="I112" t="s">
        <v>14</v>
      </c>
      <c r="J112" t="s">
        <v>23</v>
      </c>
      <c r="K112" t="s">
        <v>28</v>
      </c>
      <c r="L112" t="s">
        <v>24</v>
      </c>
      <c r="M112" t="s">
        <v>14</v>
      </c>
      <c r="N112" t="s">
        <v>15</v>
      </c>
      <c r="O112" t="s">
        <v>16</v>
      </c>
      <c r="P112" t="s">
        <v>25</v>
      </c>
      <c r="Q112" t="s">
        <v>18</v>
      </c>
      <c r="R112" s="1">
        <v>24.91349481</v>
      </c>
    </row>
    <row r="113" spans="1:18" x14ac:dyDescent="0.25">
      <c r="A113" t="s">
        <v>94</v>
      </c>
      <c r="B113" t="s">
        <v>4</v>
      </c>
      <c r="C113">
        <v>173</v>
      </c>
      <c r="D113">
        <v>70</v>
      </c>
      <c r="E113" t="s">
        <v>5</v>
      </c>
      <c r="F113" t="s">
        <v>44</v>
      </c>
      <c r="G113" t="s">
        <v>20</v>
      </c>
      <c r="H113" t="s">
        <v>40</v>
      </c>
      <c r="I113" t="s">
        <v>22</v>
      </c>
      <c r="J113" t="s">
        <v>23</v>
      </c>
      <c r="K113" t="s">
        <v>12</v>
      </c>
      <c r="L113" t="s">
        <v>19</v>
      </c>
      <c r="M113" t="s">
        <v>37</v>
      </c>
      <c r="N113" t="s">
        <v>15</v>
      </c>
      <c r="O113" t="s">
        <v>16</v>
      </c>
      <c r="P113" t="s">
        <v>49</v>
      </c>
      <c r="Q113" t="s">
        <v>42</v>
      </c>
      <c r="R113" s="1">
        <v>23.38868656</v>
      </c>
    </row>
    <row r="114" spans="1:18" x14ac:dyDescent="0.25">
      <c r="A114" t="s">
        <v>94</v>
      </c>
      <c r="B114" t="s">
        <v>4</v>
      </c>
      <c r="C114">
        <v>178</v>
      </c>
      <c r="D114">
        <v>85</v>
      </c>
      <c r="E114" t="s">
        <v>5</v>
      </c>
      <c r="F114" t="s">
        <v>11</v>
      </c>
      <c r="G114" t="s">
        <v>20</v>
      </c>
      <c r="H114" t="s">
        <v>44</v>
      </c>
      <c r="I114" t="s">
        <v>22</v>
      </c>
      <c r="J114" t="s">
        <v>23</v>
      </c>
      <c r="K114" t="s">
        <v>12</v>
      </c>
      <c r="L114" t="s">
        <v>19</v>
      </c>
      <c r="M114" t="s">
        <v>47</v>
      </c>
      <c r="N114" t="s">
        <v>15</v>
      </c>
      <c r="O114" t="s">
        <v>16</v>
      </c>
      <c r="P114" t="s">
        <v>25</v>
      </c>
      <c r="Q114" t="s">
        <v>26</v>
      </c>
      <c r="R114" s="1">
        <v>26.827420780000001</v>
      </c>
    </row>
    <row r="115" spans="1:18" x14ac:dyDescent="0.25">
      <c r="A115" t="s">
        <v>94</v>
      </c>
      <c r="B115" t="s">
        <v>4</v>
      </c>
      <c r="C115">
        <v>178</v>
      </c>
      <c r="D115">
        <v>59</v>
      </c>
      <c r="E115" t="s">
        <v>5</v>
      </c>
      <c r="F115" t="s">
        <v>11</v>
      </c>
      <c r="G115" t="s">
        <v>20</v>
      </c>
      <c r="H115" t="s">
        <v>44</v>
      </c>
      <c r="I115" t="s">
        <v>22</v>
      </c>
      <c r="J115" t="s">
        <v>23</v>
      </c>
      <c r="K115" t="s">
        <v>52</v>
      </c>
      <c r="L115" t="s">
        <v>19</v>
      </c>
      <c r="M115" t="s">
        <v>47</v>
      </c>
      <c r="N115" t="s">
        <v>15</v>
      </c>
      <c r="O115" t="s">
        <v>16</v>
      </c>
      <c r="P115" t="s">
        <v>49</v>
      </c>
      <c r="Q115" t="s">
        <v>26</v>
      </c>
      <c r="R115" s="1">
        <v>18.621386189999999</v>
      </c>
    </row>
    <row r="116" spans="1:18" x14ac:dyDescent="0.25">
      <c r="A116" t="s">
        <v>94</v>
      </c>
      <c r="B116" t="s">
        <v>36</v>
      </c>
      <c r="C116">
        <v>167</v>
      </c>
      <c r="D116">
        <v>67</v>
      </c>
      <c r="E116" t="s">
        <v>5</v>
      </c>
      <c r="F116" t="s">
        <v>11</v>
      </c>
      <c r="G116" t="s">
        <v>20</v>
      </c>
      <c r="H116" t="s">
        <v>40</v>
      </c>
      <c r="I116" t="s">
        <v>22</v>
      </c>
      <c r="J116" t="s">
        <v>23</v>
      </c>
      <c r="K116" t="s">
        <v>12</v>
      </c>
      <c r="L116" t="s">
        <v>19</v>
      </c>
      <c r="M116" t="s">
        <v>47</v>
      </c>
      <c r="N116" t="s">
        <v>46</v>
      </c>
      <c r="O116" t="s">
        <v>16</v>
      </c>
      <c r="P116" t="s">
        <v>25</v>
      </c>
      <c r="Q116" t="s">
        <v>26</v>
      </c>
      <c r="R116" s="1">
        <v>24.023808670000001</v>
      </c>
    </row>
    <row r="117" spans="1:18" x14ac:dyDescent="0.25">
      <c r="A117" t="s">
        <v>94</v>
      </c>
      <c r="B117" t="s">
        <v>4</v>
      </c>
      <c r="C117">
        <v>174</v>
      </c>
      <c r="D117">
        <v>92</v>
      </c>
      <c r="E117" t="s">
        <v>54</v>
      </c>
      <c r="F117" t="s">
        <v>6</v>
      </c>
      <c r="G117" t="s">
        <v>11</v>
      </c>
      <c r="H117" t="s">
        <v>9</v>
      </c>
      <c r="I117" t="s">
        <v>141</v>
      </c>
      <c r="J117" t="s">
        <v>43</v>
      </c>
      <c r="K117" t="s">
        <v>14</v>
      </c>
      <c r="L117" t="s">
        <v>44</v>
      </c>
      <c r="M117" t="s">
        <v>60</v>
      </c>
      <c r="N117" t="s">
        <v>65</v>
      </c>
      <c r="O117" t="s">
        <v>55</v>
      </c>
      <c r="P117" t="s">
        <v>17</v>
      </c>
      <c r="Q117" t="s">
        <v>26</v>
      </c>
      <c r="R117" s="1">
        <v>30.387105300000002</v>
      </c>
    </row>
    <row r="118" spans="1:18" x14ac:dyDescent="0.25">
      <c r="A118" t="s">
        <v>94</v>
      </c>
      <c r="B118" t="s">
        <v>4</v>
      </c>
      <c r="C118">
        <v>173</v>
      </c>
      <c r="D118">
        <v>75</v>
      </c>
      <c r="E118" t="s">
        <v>54</v>
      </c>
      <c r="F118" t="s">
        <v>11</v>
      </c>
      <c r="G118" t="s">
        <v>8</v>
      </c>
      <c r="H118" t="s">
        <v>44</v>
      </c>
      <c r="I118" t="s">
        <v>22</v>
      </c>
      <c r="J118" t="s">
        <v>23</v>
      </c>
      <c r="K118" t="s">
        <v>12</v>
      </c>
      <c r="L118" t="s">
        <v>19</v>
      </c>
      <c r="M118" t="s">
        <v>47</v>
      </c>
      <c r="N118" t="s">
        <v>38</v>
      </c>
      <c r="O118" t="s">
        <v>16</v>
      </c>
      <c r="P118" t="s">
        <v>48</v>
      </c>
      <c r="Q118" t="s">
        <v>26</v>
      </c>
      <c r="R118" s="1">
        <v>25.059307029999999</v>
      </c>
    </row>
    <row r="119" spans="1:18" x14ac:dyDescent="0.25">
      <c r="A119" t="s">
        <v>94</v>
      </c>
      <c r="B119" t="s">
        <v>4</v>
      </c>
      <c r="C119">
        <v>178</v>
      </c>
      <c r="D119">
        <v>80</v>
      </c>
      <c r="E119" t="s">
        <v>54</v>
      </c>
      <c r="F119" t="s">
        <v>7</v>
      </c>
      <c r="G119" t="s">
        <v>20</v>
      </c>
      <c r="H119" t="s">
        <v>44</v>
      </c>
      <c r="I119" t="s">
        <v>22</v>
      </c>
      <c r="J119" t="s">
        <v>23</v>
      </c>
      <c r="K119" t="s">
        <v>12</v>
      </c>
      <c r="L119" t="s">
        <v>19</v>
      </c>
      <c r="M119" t="s">
        <v>47</v>
      </c>
      <c r="N119" t="s">
        <v>15</v>
      </c>
      <c r="O119" t="s">
        <v>16</v>
      </c>
      <c r="P119" t="s">
        <v>48</v>
      </c>
      <c r="Q119" t="s">
        <v>26</v>
      </c>
      <c r="R119" s="1">
        <v>20.44913742</v>
      </c>
    </row>
    <row r="120" spans="1:18" x14ac:dyDescent="0.25">
      <c r="A120" t="s">
        <v>94</v>
      </c>
      <c r="B120" t="s">
        <v>36</v>
      </c>
      <c r="C120">
        <v>165</v>
      </c>
      <c r="D120">
        <v>60</v>
      </c>
      <c r="E120" t="s">
        <v>54</v>
      </c>
      <c r="F120" t="s">
        <v>6</v>
      </c>
      <c r="G120" t="s">
        <v>20</v>
      </c>
      <c r="H120" t="s">
        <v>21</v>
      </c>
      <c r="I120" t="s">
        <v>139</v>
      </c>
      <c r="J120" t="s">
        <v>23</v>
      </c>
      <c r="K120" t="s">
        <v>12</v>
      </c>
      <c r="L120" t="s">
        <v>19</v>
      </c>
      <c r="M120" t="s">
        <v>45</v>
      </c>
      <c r="N120" t="s">
        <v>15</v>
      </c>
      <c r="O120" t="s">
        <v>16</v>
      </c>
      <c r="P120" t="s">
        <v>48</v>
      </c>
      <c r="Q120" t="s">
        <v>18</v>
      </c>
      <c r="R120" s="1">
        <v>24.968009739999999</v>
      </c>
    </row>
    <row r="121" spans="1:18" x14ac:dyDescent="0.25">
      <c r="A121" t="s">
        <v>94</v>
      </c>
      <c r="B121" t="s">
        <v>4</v>
      </c>
      <c r="C121">
        <v>179</v>
      </c>
      <c r="D121">
        <v>80</v>
      </c>
      <c r="E121" t="s">
        <v>54</v>
      </c>
      <c r="F121" t="s">
        <v>44</v>
      </c>
      <c r="G121" t="s">
        <v>20</v>
      </c>
      <c r="H121" t="s">
        <v>44</v>
      </c>
      <c r="I121" t="s">
        <v>22</v>
      </c>
      <c r="J121" t="s">
        <v>23</v>
      </c>
      <c r="K121" t="s">
        <v>12</v>
      </c>
      <c r="L121" t="s">
        <v>19</v>
      </c>
      <c r="M121" t="s">
        <v>47</v>
      </c>
      <c r="N121" t="s">
        <v>46</v>
      </c>
      <c r="O121" t="s">
        <v>16</v>
      </c>
      <c r="P121" t="s">
        <v>25</v>
      </c>
      <c r="Q121" t="s">
        <v>26</v>
      </c>
      <c r="R121" s="1">
        <v>27.548209369999999</v>
      </c>
    </row>
    <row r="122" spans="1:18" x14ac:dyDescent="0.25">
      <c r="A122" t="s">
        <v>94</v>
      </c>
      <c r="B122" t="s">
        <v>36</v>
      </c>
      <c r="C122">
        <v>165</v>
      </c>
      <c r="D122">
        <v>56</v>
      </c>
      <c r="E122" t="s">
        <v>54</v>
      </c>
      <c r="F122" t="s">
        <v>11</v>
      </c>
      <c r="G122" t="s">
        <v>20</v>
      </c>
      <c r="H122" t="s">
        <v>40</v>
      </c>
      <c r="I122" t="s">
        <v>22</v>
      </c>
      <c r="J122" t="s">
        <v>23</v>
      </c>
      <c r="K122" t="s">
        <v>12</v>
      </c>
      <c r="L122" t="s">
        <v>19</v>
      </c>
      <c r="M122" t="s">
        <v>14</v>
      </c>
      <c r="N122" t="s">
        <v>46</v>
      </c>
      <c r="O122" t="s">
        <v>16</v>
      </c>
      <c r="P122" t="s">
        <v>49</v>
      </c>
      <c r="Q122" t="s">
        <v>26</v>
      </c>
      <c r="R122" s="1">
        <v>16.19695497</v>
      </c>
    </row>
    <row r="123" spans="1:18" x14ac:dyDescent="0.25">
      <c r="A123" t="s">
        <v>94</v>
      </c>
      <c r="B123" t="s">
        <v>4</v>
      </c>
      <c r="C123">
        <v>173</v>
      </c>
      <c r="D123">
        <v>86</v>
      </c>
      <c r="E123" t="s">
        <v>54</v>
      </c>
      <c r="F123" t="s">
        <v>11</v>
      </c>
      <c r="G123" t="s">
        <v>19</v>
      </c>
      <c r="H123" t="s">
        <v>40</v>
      </c>
      <c r="I123" t="s">
        <v>22</v>
      </c>
      <c r="J123" t="s">
        <v>23</v>
      </c>
      <c r="K123" t="s">
        <v>50</v>
      </c>
      <c r="L123" t="s">
        <v>19</v>
      </c>
      <c r="M123" t="s">
        <v>47</v>
      </c>
      <c r="N123" t="s">
        <v>15</v>
      </c>
      <c r="O123" t="s">
        <v>16</v>
      </c>
      <c r="P123" t="s">
        <v>25</v>
      </c>
      <c r="Q123" t="s">
        <v>26</v>
      </c>
      <c r="R123" s="1">
        <v>24.38237298</v>
      </c>
    </row>
    <row r="124" spans="1:18" x14ac:dyDescent="0.25">
      <c r="A124" t="s">
        <v>94</v>
      </c>
      <c r="B124" t="s">
        <v>4</v>
      </c>
      <c r="C124">
        <v>178</v>
      </c>
      <c r="D124">
        <v>89</v>
      </c>
      <c r="E124" t="s">
        <v>54</v>
      </c>
      <c r="F124" t="s">
        <v>11</v>
      </c>
      <c r="G124" t="s">
        <v>19</v>
      </c>
      <c r="H124" t="s">
        <v>44</v>
      </c>
      <c r="I124" t="s">
        <v>22</v>
      </c>
      <c r="J124" t="s">
        <v>23</v>
      </c>
      <c r="K124" t="s">
        <v>12</v>
      </c>
      <c r="L124" t="s">
        <v>19</v>
      </c>
      <c r="M124" t="s">
        <v>47</v>
      </c>
      <c r="N124" t="s">
        <v>15</v>
      </c>
      <c r="O124" t="s">
        <v>16</v>
      </c>
      <c r="P124" t="s">
        <v>25</v>
      </c>
      <c r="Q124" t="s">
        <v>26</v>
      </c>
      <c r="R124" s="1">
        <v>21.258503399999999</v>
      </c>
    </row>
    <row r="125" spans="1:18" x14ac:dyDescent="0.25">
      <c r="A125" t="s">
        <v>94</v>
      </c>
      <c r="B125" t="s">
        <v>36</v>
      </c>
      <c r="C125">
        <v>164</v>
      </c>
      <c r="D125">
        <v>80</v>
      </c>
      <c r="E125" t="s">
        <v>54</v>
      </c>
      <c r="F125" t="s">
        <v>19</v>
      </c>
      <c r="G125" t="s">
        <v>20</v>
      </c>
      <c r="H125" t="s">
        <v>9</v>
      </c>
      <c r="I125" t="s">
        <v>139</v>
      </c>
      <c r="J125" t="s">
        <v>43</v>
      </c>
      <c r="K125" t="s">
        <v>14</v>
      </c>
      <c r="L125" t="s">
        <v>44</v>
      </c>
      <c r="M125" t="s">
        <v>53</v>
      </c>
      <c r="N125" t="s">
        <v>15</v>
      </c>
      <c r="O125" t="s">
        <v>16</v>
      </c>
      <c r="P125" t="s">
        <v>25</v>
      </c>
      <c r="Q125" t="s">
        <v>26</v>
      </c>
      <c r="R125" s="1">
        <v>29.585798820000001</v>
      </c>
    </row>
    <row r="126" spans="1:18" x14ac:dyDescent="0.25">
      <c r="A126" t="s">
        <v>94</v>
      </c>
      <c r="B126" t="s">
        <v>36</v>
      </c>
      <c r="C126">
        <v>156</v>
      </c>
      <c r="D126">
        <v>72</v>
      </c>
      <c r="E126" t="s">
        <v>54</v>
      </c>
      <c r="F126" t="s">
        <v>44</v>
      </c>
      <c r="G126" t="s">
        <v>20</v>
      </c>
      <c r="H126" t="s">
        <v>40</v>
      </c>
      <c r="I126" t="s">
        <v>22</v>
      </c>
      <c r="J126" t="s">
        <v>23</v>
      </c>
      <c r="K126" t="s">
        <v>52</v>
      </c>
      <c r="L126" t="s">
        <v>19</v>
      </c>
      <c r="M126" t="s">
        <v>53</v>
      </c>
      <c r="N126" t="s">
        <v>15</v>
      </c>
      <c r="O126" t="s">
        <v>16</v>
      </c>
      <c r="P126" t="s">
        <v>25</v>
      </c>
      <c r="Q126" t="s">
        <v>26</v>
      </c>
      <c r="R126" s="1">
        <v>19.834710739999998</v>
      </c>
    </row>
    <row r="127" spans="1:18" x14ac:dyDescent="0.25">
      <c r="A127" t="s">
        <v>94</v>
      </c>
      <c r="B127" t="s">
        <v>4</v>
      </c>
      <c r="C127">
        <v>166</v>
      </c>
      <c r="D127">
        <v>95</v>
      </c>
      <c r="E127" t="s">
        <v>54</v>
      </c>
      <c r="F127" t="s">
        <v>19</v>
      </c>
      <c r="G127" t="s">
        <v>8</v>
      </c>
      <c r="H127" t="s">
        <v>9</v>
      </c>
      <c r="I127" t="s">
        <v>123</v>
      </c>
      <c r="J127" t="s">
        <v>43</v>
      </c>
      <c r="K127" t="s">
        <v>14</v>
      </c>
      <c r="L127" t="s">
        <v>44</v>
      </c>
      <c r="M127" t="s">
        <v>79</v>
      </c>
      <c r="N127" t="s">
        <v>38</v>
      </c>
      <c r="O127" t="s">
        <v>55</v>
      </c>
      <c r="P127" t="s">
        <v>14</v>
      </c>
      <c r="Q127" t="s">
        <v>18</v>
      </c>
      <c r="R127" s="1">
        <v>40.888888889999997</v>
      </c>
    </row>
    <row r="128" spans="1:18" x14ac:dyDescent="0.25">
      <c r="A128" t="s">
        <v>94</v>
      </c>
      <c r="B128" t="s">
        <v>36</v>
      </c>
      <c r="C128">
        <v>150</v>
      </c>
      <c r="D128">
        <v>92</v>
      </c>
      <c r="E128" t="s">
        <v>5</v>
      </c>
      <c r="F128" t="s">
        <v>6</v>
      </c>
      <c r="G128" t="s">
        <v>8</v>
      </c>
      <c r="H128" t="s">
        <v>9</v>
      </c>
      <c r="I128" t="s">
        <v>69</v>
      </c>
      <c r="J128" t="s">
        <v>11</v>
      </c>
      <c r="K128" t="s">
        <v>12</v>
      </c>
      <c r="L128" t="s">
        <v>13</v>
      </c>
      <c r="M128" t="s">
        <v>95</v>
      </c>
      <c r="N128" t="s">
        <v>65</v>
      </c>
      <c r="O128" t="s">
        <v>58</v>
      </c>
      <c r="P128" t="s">
        <v>48</v>
      </c>
      <c r="Q128" t="s">
        <v>26</v>
      </c>
      <c r="R128" s="1">
        <v>22.546576479999999</v>
      </c>
    </row>
    <row r="129" spans="1:18" x14ac:dyDescent="0.25">
      <c r="A129" t="s">
        <v>94</v>
      </c>
      <c r="B129" t="s">
        <v>36</v>
      </c>
      <c r="C129">
        <v>159</v>
      </c>
      <c r="D129">
        <v>57</v>
      </c>
      <c r="E129" t="s">
        <v>5</v>
      </c>
      <c r="F129" t="s">
        <v>7</v>
      </c>
      <c r="G129" t="s">
        <v>11</v>
      </c>
      <c r="H129" t="s">
        <v>72</v>
      </c>
      <c r="I129" t="s">
        <v>14</v>
      </c>
      <c r="J129" t="s">
        <v>43</v>
      </c>
      <c r="K129" t="s">
        <v>14</v>
      </c>
      <c r="L129" t="s">
        <v>44</v>
      </c>
      <c r="M129" t="s">
        <v>89</v>
      </c>
      <c r="N129" t="s">
        <v>38</v>
      </c>
      <c r="O129" t="s">
        <v>58</v>
      </c>
      <c r="P129" t="s">
        <v>14</v>
      </c>
      <c r="Q129" t="s">
        <v>26</v>
      </c>
      <c r="R129" s="1">
        <v>24.444444440000002</v>
      </c>
    </row>
    <row r="130" spans="1:18" x14ac:dyDescent="0.25">
      <c r="A130" t="s">
        <v>94</v>
      </c>
      <c r="B130" t="s">
        <v>36</v>
      </c>
      <c r="C130">
        <v>176</v>
      </c>
      <c r="D130">
        <v>59</v>
      </c>
      <c r="E130" t="s">
        <v>5</v>
      </c>
      <c r="F130" t="s">
        <v>7</v>
      </c>
      <c r="G130" t="s">
        <v>8</v>
      </c>
      <c r="H130" t="s">
        <v>72</v>
      </c>
      <c r="I130" t="s">
        <v>10</v>
      </c>
      <c r="J130" t="s">
        <v>11</v>
      </c>
      <c r="K130" t="s">
        <v>12</v>
      </c>
      <c r="L130" t="s">
        <v>13</v>
      </c>
      <c r="M130" t="s">
        <v>45</v>
      </c>
      <c r="N130" t="s">
        <v>15</v>
      </c>
      <c r="O130" t="s">
        <v>34</v>
      </c>
      <c r="P130" t="s">
        <v>80</v>
      </c>
      <c r="Q130" t="s">
        <v>44</v>
      </c>
      <c r="R130" s="1">
        <v>35.003199219999999</v>
      </c>
    </row>
    <row r="131" spans="1:18" x14ac:dyDescent="0.25">
      <c r="A131" t="s">
        <v>94</v>
      </c>
      <c r="B131" t="s">
        <v>4</v>
      </c>
      <c r="C131">
        <v>153</v>
      </c>
      <c r="D131">
        <v>62</v>
      </c>
      <c r="E131" t="s">
        <v>5</v>
      </c>
      <c r="F131" t="s">
        <v>7</v>
      </c>
      <c r="G131" t="s">
        <v>20</v>
      </c>
      <c r="H131" t="s">
        <v>27</v>
      </c>
      <c r="I131" t="s">
        <v>10</v>
      </c>
      <c r="J131" t="s">
        <v>23</v>
      </c>
      <c r="K131" t="s">
        <v>73</v>
      </c>
      <c r="L131" t="s">
        <v>19</v>
      </c>
      <c r="M131" t="s">
        <v>14</v>
      </c>
      <c r="N131" t="s">
        <v>38</v>
      </c>
      <c r="O131" t="s">
        <v>16</v>
      </c>
      <c r="P131" t="s">
        <v>25</v>
      </c>
      <c r="Q131" t="s">
        <v>42</v>
      </c>
      <c r="R131" s="1">
        <v>19.95935549</v>
      </c>
    </row>
    <row r="132" spans="1:18" x14ac:dyDescent="0.25">
      <c r="A132" t="s">
        <v>94</v>
      </c>
      <c r="B132" t="s">
        <v>36</v>
      </c>
      <c r="C132">
        <v>168</v>
      </c>
      <c r="D132">
        <v>58</v>
      </c>
      <c r="E132" t="s">
        <v>5</v>
      </c>
      <c r="F132" t="s">
        <v>7</v>
      </c>
      <c r="G132" t="s">
        <v>8</v>
      </c>
      <c r="H132" t="s">
        <v>72</v>
      </c>
      <c r="I132" t="s">
        <v>10</v>
      </c>
      <c r="J132" t="s">
        <v>11</v>
      </c>
      <c r="K132" t="s">
        <v>12</v>
      </c>
      <c r="L132" t="s">
        <v>13</v>
      </c>
      <c r="M132" t="s">
        <v>45</v>
      </c>
      <c r="N132" t="s">
        <v>15</v>
      </c>
      <c r="O132" t="s">
        <v>34</v>
      </c>
      <c r="P132" t="s">
        <v>80</v>
      </c>
      <c r="Q132" t="s">
        <v>44</v>
      </c>
      <c r="R132" s="1">
        <v>32.488628980000001</v>
      </c>
    </row>
    <row r="133" spans="1:18" x14ac:dyDescent="0.25">
      <c r="A133" t="s">
        <v>94</v>
      </c>
      <c r="B133" t="s">
        <v>4</v>
      </c>
      <c r="C133">
        <v>156</v>
      </c>
      <c r="D133">
        <v>66</v>
      </c>
      <c r="E133" t="s">
        <v>5</v>
      </c>
      <c r="F133" t="s">
        <v>7</v>
      </c>
      <c r="G133" t="s">
        <v>20</v>
      </c>
      <c r="H133" t="s">
        <v>27</v>
      </c>
      <c r="I133" t="s">
        <v>10</v>
      </c>
      <c r="J133" t="s">
        <v>23</v>
      </c>
      <c r="K133" t="s">
        <v>73</v>
      </c>
      <c r="L133" t="s">
        <v>19</v>
      </c>
      <c r="M133" t="s">
        <v>14</v>
      </c>
      <c r="N133" t="s">
        <v>38</v>
      </c>
      <c r="O133" t="s">
        <v>16</v>
      </c>
      <c r="P133" t="s">
        <v>25</v>
      </c>
      <c r="Q133" t="s">
        <v>42</v>
      </c>
      <c r="R133" s="1">
        <v>20.43816558</v>
      </c>
    </row>
    <row r="134" spans="1:18" x14ac:dyDescent="0.25">
      <c r="A134" t="s">
        <v>94</v>
      </c>
      <c r="B134" t="s">
        <v>4</v>
      </c>
      <c r="C134">
        <v>166</v>
      </c>
      <c r="D134">
        <v>92</v>
      </c>
      <c r="E134" t="s">
        <v>54</v>
      </c>
      <c r="F134" t="s">
        <v>19</v>
      </c>
      <c r="G134" t="s">
        <v>8</v>
      </c>
      <c r="H134" t="s">
        <v>9</v>
      </c>
      <c r="I134" t="s">
        <v>123</v>
      </c>
      <c r="J134" t="s">
        <v>43</v>
      </c>
      <c r="K134" t="s">
        <v>14</v>
      </c>
      <c r="L134" t="s">
        <v>44</v>
      </c>
      <c r="M134" t="s">
        <v>79</v>
      </c>
      <c r="N134" t="s">
        <v>38</v>
      </c>
      <c r="O134" t="s">
        <v>55</v>
      </c>
      <c r="P134" t="s">
        <v>14</v>
      </c>
      <c r="Q134" t="s">
        <v>18</v>
      </c>
      <c r="R134" s="1">
        <v>37.804076270000003</v>
      </c>
    </row>
    <row r="135" spans="1:18" x14ac:dyDescent="0.25">
      <c r="A135" t="s">
        <v>94</v>
      </c>
      <c r="B135" t="s">
        <v>4</v>
      </c>
      <c r="C135">
        <v>156</v>
      </c>
      <c r="D135">
        <v>92</v>
      </c>
      <c r="E135" t="s">
        <v>5</v>
      </c>
      <c r="F135" t="s">
        <v>6</v>
      </c>
      <c r="G135" t="s">
        <v>8</v>
      </c>
      <c r="H135" t="s">
        <v>9</v>
      </c>
      <c r="I135" t="s">
        <v>69</v>
      </c>
      <c r="J135" t="s">
        <v>11</v>
      </c>
      <c r="K135" t="s">
        <v>12</v>
      </c>
      <c r="L135" t="s">
        <v>13</v>
      </c>
      <c r="M135" t="s">
        <v>95</v>
      </c>
      <c r="N135" t="s">
        <v>65</v>
      </c>
      <c r="O135" t="s">
        <v>58</v>
      </c>
      <c r="P135" t="s">
        <v>48</v>
      </c>
      <c r="Q135" t="s">
        <v>26</v>
      </c>
      <c r="R135" s="1">
        <v>23.337684429999999</v>
      </c>
    </row>
    <row r="136" spans="1:18" hidden="1" x14ac:dyDescent="0.25">
      <c r="A136" t="s">
        <v>94</v>
      </c>
      <c r="B136" t="s">
        <v>36</v>
      </c>
      <c r="C136">
        <v>168</v>
      </c>
      <c r="D136">
        <v>58</v>
      </c>
      <c r="E136" t="s">
        <v>5</v>
      </c>
      <c r="F136" t="s">
        <v>7</v>
      </c>
      <c r="G136" t="s">
        <v>8</v>
      </c>
      <c r="H136" t="s">
        <v>72</v>
      </c>
      <c r="I136" t="s">
        <v>10</v>
      </c>
      <c r="J136" t="s">
        <v>11</v>
      </c>
      <c r="K136" t="s">
        <v>12</v>
      </c>
      <c r="L136" t="s">
        <v>13</v>
      </c>
      <c r="M136" t="s">
        <v>45</v>
      </c>
      <c r="N136" t="s">
        <v>15</v>
      </c>
      <c r="O136" t="s">
        <v>34</v>
      </c>
      <c r="P136" t="s">
        <v>80</v>
      </c>
      <c r="Q136" t="s">
        <v>44</v>
      </c>
    </row>
    <row r="137" spans="1:18" hidden="1" x14ac:dyDescent="0.25">
      <c r="A137" t="s">
        <v>94</v>
      </c>
      <c r="B137" t="s">
        <v>4</v>
      </c>
      <c r="C137">
        <v>156</v>
      </c>
      <c r="D137">
        <v>66</v>
      </c>
      <c r="E137" t="s">
        <v>5</v>
      </c>
      <c r="F137" t="s">
        <v>7</v>
      </c>
      <c r="G137" t="s">
        <v>20</v>
      </c>
      <c r="H137" t="s">
        <v>27</v>
      </c>
      <c r="I137" t="s">
        <v>10</v>
      </c>
      <c r="J137" t="s">
        <v>23</v>
      </c>
      <c r="K137" t="s">
        <v>73</v>
      </c>
      <c r="L137" t="s">
        <v>19</v>
      </c>
      <c r="M137" t="s">
        <v>14</v>
      </c>
      <c r="N137" t="s">
        <v>38</v>
      </c>
      <c r="O137" t="s">
        <v>16</v>
      </c>
      <c r="P137" t="s">
        <v>25</v>
      </c>
      <c r="Q137" t="s">
        <v>42</v>
      </c>
    </row>
    <row r="138" spans="1:18" hidden="1" x14ac:dyDescent="0.25">
      <c r="A138" t="s">
        <v>94</v>
      </c>
      <c r="B138" t="s">
        <v>4</v>
      </c>
      <c r="C138">
        <v>166</v>
      </c>
      <c r="D138">
        <v>92</v>
      </c>
      <c r="E138" t="s">
        <v>54</v>
      </c>
      <c r="F138" t="s">
        <v>19</v>
      </c>
      <c r="G138" t="s">
        <v>8</v>
      </c>
      <c r="H138" t="s">
        <v>9</v>
      </c>
      <c r="I138" t="s">
        <v>123</v>
      </c>
      <c r="J138" t="s">
        <v>43</v>
      </c>
      <c r="K138" t="s">
        <v>14</v>
      </c>
      <c r="L138" t="s">
        <v>44</v>
      </c>
      <c r="M138" t="s">
        <v>79</v>
      </c>
      <c r="N138" t="s">
        <v>38</v>
      </c>
      <c r="O138" t="s">
        <v>55</v>
      </c>
      <c r="P138" t="s">
        <v>14</v>
      </c>
      <c r="Q138" t="s">
        <v>18</v>
      </c>
    </row>
    <row r="139" spans="1:18" hidden="1" x14ac:dyDescent="0.25">
      <c r="A139" t="s">
        <v>94</v>
      </c>
      <c r="B139" t="s">
        <v>4</v>
      </c>
      <c r="C139">
        <v>156</v>
      </c>
      <c r="D139">
        <v>92</v>
      </c>
      <c r="E139" t="s">
        <v>5</v>
      </c>
      <c r="F139" t="s">
        <v>6</v>
      </c>
      <c r="G139" t="s">
        <v>8</v>
      </c>
      <c r="H139" t="s">
        <v>9</v>
      </c>
      <c r="I139" t="s">
        <v>69</v>
      </c>
      <c r="J139" t="s">
        <v>11</v>
      </c>
      <c r="K139" t="s">
        <v>12</v>
      </c>
      <c r="L139" t="s">
        <v>13</v>
      </c>
      <c r="M139" t="s">
        <v>95</v>
      </c>
      <c r="N139" t="s">
        <v>65</v>
      </c>
      <c r="O139" t="s">
        <v>58</v>
      </c>
      <c r="P139" t="s">
        <v>48</v>
      </c>
      <c r="Q139" t="s">
        <v>26</v>
      </c>
    </row>
    <row r="140" spans="1:18" hidden="1" x14ac:dyDescent="0.25">
      <c r="A140" t="s">
        <v>94</v>
      </c>
      <c r="B140" t="s">
        <v>36</v>
      </c>
      <c r="C140">
        <v>163</v>
      </c>
      <c r="D140">
        <v>85</v>
      </c>
      <c r="E140" t="s">
        <v>5</v>
      </c>
      <c r="F140" t="s">
        <v>6</v>
      </c>
      <c r="G140" t="s">
        <v>44</v>
      </c>
      <c r="H140" t="s">
        <v>9</v>
      </c>
      <c r="I140" t="s">
        <v>129</v>
      </c>
      <c r="J140" t="s">
        <v>11</v>
      </c>
      <c r="K140" t="s">
        <v>12</v>
      </c>
      <c r="L140" t="s">
        <v>13</v>
      </c>
      <c r="M140" t="s">
        <v>89</v>
      </c>
      <c r="N140" t="s">
        <v>65</v>
      </c>
      <c r="O140" t="s">
        <v>58</v>
      </c>
      <c r="P140" t="s">
        <v>14</v>
      </c>
      <c r="Q140" t="s">
        <v>18</v>
      </c>
    </row>
    <row r="141" spans="1:18" hidden="1" x14ac:dyDescent="0.25">
      <c r="A141" t="s">
        <v>94</v>
      </c>
      <c r="B141" t="s">
        <v>36</v>
      </c>
      <c r="C141">
        <v>164</v>
      </c>
      <c r="D141">
        <v>78</v>
      </c>
      <c r="E141" t="s">
        <v>54</v>
      </c>
      <c r="F141" t="s">
        <v>7</v>
      </c>
      <c r="G141" t="s">
        <v>8</v>
      </c>
      <c r="H141" t="s">
        <v>72</v>
      </c>
      <c r="I141" t="s">
        <v>10</v>
      </c>
      <c r="J141" t="s">
        <v>43</v>
      </c>
      <c r="K141" t="s">
        <v>14</v>
      </c>
      <c r="L141" t="s">
        <v>44</v>
      </c>
      <c r="M141" t="s">
        <v>51</v>
      </c>
      <c r="N141" t="s">
        <v>65</v>
      </c>
      <c r="O141" t="s">
        <v>34</v>
      </c>
      <c r="P141" t="s">
        <v>14</v>
      </c>
      <c r="Q141" t="s">
        <v>26</v>
      </c>
    </row>
    <row r="142" spans="1:18" hidden="1" x14ac:dyDescent="0.25">
      <c r="A142" t="s">
        <v>94</v>
      </c>
      <c r="B142" t="s">
        <v>4</v>
      </c>
      <c r="C142">
        <v>151</v>
      </c>
      <c r="D142">
        <v>44</v>
      </c>
      <c r="E142" t="s">
        <v>54</v>
      </c>
      <c r="F142" t="s">
        <v>7</v>
      </c>
      <c r="G142" t="s">
        <v>8</v>
      </c>
      <c r="H142" t="s">
        <v>21</v>
      </c>
      <c r="I142" t="s">
        <v>121</v>
      </c>
      <c r="J142" t="s">
        <v>43</v>
      </c>
      <c r="K142" t="s">
        <v>14</v>
      </c>
      <c r="L142" t="s">
        <v>44</v>
      </c>
      <c r="M142" t="s">
        <v>51</v>
      </c>
      <c r="N142" t="s">
        <v>15</v>
      </c>
      <c r="O142" t="s">
        <v>58</v>
      </c>
      <c r="P142" t="s">
        <v>14</v>
      </c>
      <c r="Q142" t="s">
        <v>44</v>
      </c>
    </row>
    <row r="143" spans="1:18" hidden="1" x14ac:dyDescent="0.25">
      <c r="A143" t="s">
        <v>94</v>
      </c>
      <c r="B143" t="s">
        <v>4</v>
      </c>
      <c r="C143">
        <v>156</v>
      </c>
      <c r="D143">
        <v>54</v>
      </c>
      <c r="E143" t="s">
        <v>5</v>
      </c>
      <c r="F143" t="s">
        <v>6</v>
      </c>
      <c r="G143" t="s">
        <v>8</v>
      </c>
      <c r="H143" t="s">
        <v>9</v>
      </c>
      <c r="I143" t="s">
        <v>130</v>
      </c>
      <c r="J143" t="s">
        <v>11</v>
      </c>
      <c r="K143" t="s">
        <v>52</v>
      </c>
      <c r="L143" t="s">
        <v>13</v>
      </c>
      <c r="M143" t="s">
        <v>96</v>
      </c>
      <c r="N143" t="s">
        <v>38</v>
      </c>
      <c r="O143" t="s">
        <v>16</v>
      </c>
      <c r="P143" t="s">
        <v>14</v>
      </c>
      <c r="Q143" t="s">
        <v>42</v>
      </c>
    </row>
    <row r="144" spans="1:18" hidden="1" x14ac:dyDescent="0.25">
      <c r="A144" t="s">
        <v>94</v>
      </c>
      <c r="B144" t="s">
        <v>4</v>
      </c>
      <c r="C144">
        <v>178</v>
      </c>
      <c r="D144">
        <v>68</v>
      </c>
      <c r="E144" t="s">
        <v>5</v>
      </c>
      <c r="F144" t="s">
        <v>7</v>
      </c>
      <c r="G144" t="s">
        <v>8</v>
      </c>
      <c r="H144" t="s">
        <v>72</v>
      </c>
      <c r="I144" t="s">
        <v>10</v>
      </c>
      <c r="J144" t="s">
        <v>43</v>
      </c>
      <c r="K144" t="s">
        <v>14</v>
      </c>
      <c r="L144" t="s">
        <v>44</v>
      </c>
      <c r="M144" t="s">
        <v>45</v>
      </c>
      <c r="N144" t="s">
        <v>38</v>
      </c>
      <c r="O144" t="s">
        <v>55</v>
      </c>
      <c r="P144" t="s">
        <v>14</v>
      </c>
      <c r="Q144" t="s">
        <v>42</v>
      </c>
    </row>
    <row r="145" spans="1:18" hidden="1" x14ac:dyDescent="0.25">
      <c r="A145" t="s">
        <v>94</v>
      </c>
      <c r="B145" t="s">
        <v>36</v>
      </c>
      <c r="C145">
        <v>165</v>
      </c>
      <c r="D145">
        <v>75</v>
      </c>
      <c r="E145" t="s">
        <v>54</v>
      </c>
      <c r="F145" t="s">
        <v>7</v>
      </c>
      <c r="G145" t="s">
        <v>8</v>
      </c>
      <c r="H145" t="s">
        <v>72</v>
      </c>
      <c r="I145" t="s">
        <v>10</v>
      </c>
      <c r="J145" t="s">
        <v>43</v>
      </c>
      <c r="K145" t="s">
        <v>14</v>
      </c>
      <c r="L145" t="s">
        <v>44</v>
      </c>
      <c r="M145" t="s">
        <v>51</v>
      </c>
      <c r="N145" t="s">
        <v>65</v>
      </c>
      <c r="O145" t="s">
        <v>34</v>
      </c>
      <c r="P145" t="s">
        <v>14</v>
      </c>
      <c r="Q145" t="s">
        <v>26</v>
      </c>
    </row>
    <row r="146" spans="1:18" hidden="1" x14ac:dyDescent="0.25">
      <c r="A146" t="s">
        <v>94</v>
      </c>
      <c r="B146" t="s">
        <v>4</v>
      </c>
      <c r="C146">
        <v>152</v>
      </c>
      <c r="D146">
        <v>45</v>
      </c>
      <c r="E146" t="s">
        <v>54</v>
      </c>
      <c r="F146" t="s">
        <v>7</v>
      </c>
      <c r="G146" t="s">
        <v>8</v>
      </c>
      <c r="H146" t="s">
        <v>21</v>
      </c>
      <c r="I146" t="s">
        <v>121</v>
      </c>
      <c r="J146" t="s">
        <v>43</v>
      </c>
      <c r="K146" t="s">
        <v>14</v>
      </c>
      <c r="L146" t="s">
        <v>44</v>
      </c>
      <c r="M146" t="s">
        <v>51</v>
      </c>
      <c r="N146" t="s">
        <v>15</v>
      </c>
      <c r="O146" t="s">
        <v>58</v>
      </c>
      <c r="P146" t="s">
        <v>14</v>
      </c>
      <c r="Q146" t="s">
        <v>44</v>
      </c>
    </row>
    <row r="147" spans="1:18" x14ac:dyDescent="0.25">
      <c r="A147" t="s">
        <v>97</v>
      </c>
      <c r="B147" t="s">
        <v>36</v>
      </c>
      <c r="C147">
        <v>158</v>
      </c>
      <c r="D147">
        <v>68</v>
      </c>
      <c r="E147" t="s">
        <v>5</v>
      </c>
      <c r="F147" t="s">
        <v>11</v>
      </c>
      <c r="G147" t="s">
        <v>8</v>
      </c>
      <c r="H147" t="s">
        <v>30</v>
      </c>
      <c r="I147" t="s">
        <v>14</v>
      </c>
      <c r="J147" t="s">
        <v>23</v>
      </c>
      <c r="K147" t="s">
        <v>12</v>
      </c>
      <c r="L147" t="s">
        <v>24</v>
      </c>
      <c r="M147" t="s">
        <v>37</v>
      </c>
      <c r="N147" t="s">
        <v>38</v>
      </c>
      <c r="O147" t="s">
        <v>55</v>
      </c>
      <c r="P147" t="s">
        <v>49</v>
      </c>
      <c r="Q147" t="s">
        <v>26</v>
      </c>
      <c r="R147" s="1">
        <v>27.239224480000001</v>
      </c>
    </row>
    <row r="148" spans="1:18" x14ac:dyDescent="0.25">
      <c r="A148" t="s">
        <v>97</v>
      </c>
      <c r="B148" t="s">
        <v>4</v>
      </c>
      <c r="C148">
        <v>173</v>
      </c>
      <c r="D148">
        <v>83</v>
      </c>
      <c r="E148" t="s">
        <v>5</v>
      </c>
      <c r="F148" t="s">
        <v>7</v>
      </c>
      <c r="G148" t="s">
        <v>20</v>
      </c>
      <c r="H148" t="s">
        <v>44</v>
      </c>
      <c r="I148" t="s">
        <v>22</v>
      </c>
      <c r="J148" t="s">
        <v>23</v>
      </c>
      <c r="K148" t="s">
        <v>12</v>
      </c>
      <c r="L148" t="s">
        <v>19</v>
      </c>
      <c r="M148" t="s">
        <v>53</v>
      </c>
      <c r="N148" t="s">
        <v>46</v>
      </c>
      <c r="O148" t="s">
        <v>16</v>
      </c>
      <c r="P148" t="s">
        <v>48</v>
      </c>
      <c r="Q148" t="s">
        <v>42</v>
      </c>
      <c r="R148" s="1">
        <v>27.732299780000002</v>
      </c>
    </row>
    <row r="149" spans="1:18" x14ac:dyDescent="0.25">
      <c r="A149" t="s">
        <v>97</v>
      </c>
      <c r="B149" t="s">
        <v>36</v>
      </c>
      <c r="C149">
        <v>167</v>
      </c>
      <c r="D149">
        <v>80</v>
      </c>
      <c r="E149" t="s">
        <v>5</v>
      </c>
      <c r="F149" t="s">
        <v>11</v>
      </c>
      <c r="G149" t="s">
        <v>20</v>
      </c>
      <c r="H149" t="s">
        <v>40</v>
      </c>
      <c r="I149" t="s">
        <v>22</v>
      </c>
      <c r="J149" t="s">
        <v>23</v>
      </c>
      <c r="K149" t="s">
        <v>12</v>
      </c>
      <c r="L149" t="s">
        <v>19</v>
      </c>
      <c r="M149" t="s">
        <v>14</v>
      </c>
      <c r="N149" t="s">
        <v>46</v>
      </c>
      <c r="O149" t="s">
        <v>16</v>
      </c>
      <c r="P149" t="s">
        <v>49</v>
      </c>
      <c r="Q149" t="s">
        <v>26</v>
      </c>
      <c r="R149" s="1">
        <v>28.685144680000001</v>
      </c>
    </row>
    <row r="150" spans="1:18" x14ac:dyDescent="0.25">
      <c r="A150" t="s">
        <v>97</v>
      </c>
      <c r="B150" t="s">
        <v>36</v>
      </c>
      <c r="C150">
        <v>164</v>
      </c>
      <c r="D150">
        <v>55</v>
      </c>
      <c r="E150" t="s">
        <v>54</v>
      </c>
      <c r="F150" t="s">
        <v>6</v>
      </c>
      <c r="G150" t="s">
        <v>20</v>
      </c>
      <c r="H150" t="s">
        <v>44</v>
      </c>
      <c r="I150" t="s">
        <v>22</v>
      </c>
      <c r="J150" t="s">
        <v>23</v>
      </c>
      <c r="K150" t="s">
        <v>12</v>
      </c>
      <c r="L150" t="s">
        <v>19</v>
      </c>
      <c r="M150" t="s">
        <v>45</v>
      </c>
      <c r="N150" t="s">
        <v>46</v>
      </c>
      <c r="O150" t="s">
        <v>16</v>
      </c>
      <c r="P150" t="s">
        <v>49</v>
      </c>
      <c r="Q150" t="s">
        <v>26</v>
      </c>
      <c r="R150" s="1">
        <v>22.22906193</v>
      </c>
    </row>
    <row r="151" spans="1:18" x14ac:dyDescent="0.25">
      <c r="A151" t="s">
        <v>97</v>
      </c>
      <c r="B151" t="s">
        <v>36</v>
      </c>
      <c r="C151">
        <v>175</v>
      </c>
      <c r="D151">
        <v>95</v>
      </c>
      <c r="E151" t="s">
        <v>54</v>
      </c>
      <c r="F151" t="s">
        <v>6</v>
      </c>
      <c r="G151" t="s">
        <v>20</v>
      </c>
      <c r="H151" t="s">
        <v>9</v>
      </c>
      <c r="I151" t="s">
        <v>140</v>
      </c>
      <c r="J151" t="s">
        <v>11</v>
      </c>
      <c r="K151" t="s">
        <v>12</v>
      </c>
      <c r="L151" t="s">
        <v>32</v>
      </c>
      <c r="M151" t="s">
        <v>37</v>
      </c>
      <c r="N151" t="s">
        <v>15</v>
      </c>
      <c r="O151" t="s">
        <v>16</v>
      </c>
      <c r="P151" t="s">
        <v>25</v>
      </c>
      <c r="Q151" t="s">
        <v>26</v>
      </c>
      <c r="R151" s="1">
        <v>29.700413220000002</v>
      </c>
    </row>
    <row r="152" spans="1:18" x14ac:dyDescent="0.25">
      <c r="A152" t="s">
        <v>97</v>
      </c>
      <c r="B152" t="s">
        <v>4</v>
      </c>
      <c r="C152">
        <v>176</v>
      </c>
      <c r="D152">
        <v>92</v>
      </c>
      <c r="E152" t="s">
        <v>54</v>
      </c>
      <c r="F152" t="s">
        <v>44</v>
      </c>
      <c r="G152" t="s">
        <v>20</v>
      </c>
      <c r="H152" t="s">
        <v>44</v>
      </c>
      <c r="I152" t="s">
        <v>22</v>
      </c>
      <c r="J152" t="s">
        <v>23</v>
      </c>
      <c r="K152" t="s">
        <v>12</v>
      </c>
      <c r="L152" t="s">
        <v>19</v>
      </c>
      <c r="M152" t="s">
        <v>14</v>
      </c>
      <c r="N152" t="s">
        <v>46</v>
      </c>
      <c r="O152" t="s">
        <v>16</v>
      </c>
      <c r="P152" t="s">
        <v>49</v>
      </c>
      <c r="Q152" t="s">
        <v>26</v>
      </c>
      <c r="R152" s="1">
        <v>31.221303949999999</v>
      </c>
    </row>
    <row r="153" spans="1:18" x14ac:dyDescent="0.25">
      <c r="A153" t="s">
        <v>97</v>
      </c>
      <c r="B153" t="s">
        <v>36</v>
      </c>
      <c r="C153">
        <v>165</v>
      </c>
      <c r="D153">
        <v>85</v>
      </c>
      <c r="E153" t="s">
        <v>54</v>
      </c>
      <c r="F153" t="s">
        <v>11</v>
      </c>
      <c r="G153" t="s">
        <v>20</v>
      </c>
      <c r="H153" t="s">
        <v>44</v>
      </c>
      <c r="I153" t="s">
        <v>22</v>
      </c>
      <c r="J153" t="s">
        <v>23</v>
      </c>
      <c r="K153" t="s">
        <v>12</v>
      </c>
      <c r="L153" t="s">
        <v>19</v>
      </c>
      <c r="M153" t="s">
        <v>37</v>
      </c>
      <c r="N153" t="s">
        <v>46</v>
      </c>
      <c r="O153" t="s">
        <v>16</v>
      </c>
      <c r="P153" t="s">
        <v>25</v>
      </c>
      <c r="Q153" t="s">
        <v>26</v>
      </c>
      <c r="R153" s="1">
        <v>19.95728441</v>
      </c>
    </row>
    <row r="154" spans="1:18" x14ac:dyDescent="0.25">
      <c r="A154" t="s">
        <v>97</v>
      </c>
      <c r="B154" t="s">
        <v>36</v>
      </c>
      <c r="C154">
        <v>167</v>
      </c>
      <c r="D154">
        <v>68</v>
      </c>
      <c r="E154" t="s">
        <v>54</v>
      </c>
      <c r="F154" t="s">
        <v>11</v>
      </c>
      <c r="G154" t="s">
        <v>19</v>
      </c>
      <c r="H154" t="s">
        <v>9</v>
      </c>
      <c r="I154" t="s">
        <v>22</v>
      </c>
      <c r="J154" t="s">
        <v>23</v>
      </c>
      <c r="K154" t="s">
        <v>12</v>
      </c>
      <c r="L154" t="s">
        <v>19</v>
      </c>
      <c r="M154" t="s">
        <v>45</v>
      </c>
      <c r="N154" t="s">
        <v>46</v>
      </c>
      <c r="O154" t="s">
        <v>16</v>
      </c>
      <c r="P154" t="s">
        <v>25</v>
      </c>
      <c r="Q154" t="s">
        <v>26</v>
      </c>
      <c r="R154" s="1">
        <v>28.089887640000001</v>
      </c>
    </row>
    <row r="155" spans="1:18" x14ac:dyDescent="0.25">
      <c r="A155" t="s">
        <v>97</v>
      </c>
      <c r="B155" t="s">
        <v>4</v>
      </c>
      <c r="C155">
        <v>178</v>
      </c>
      <c r="D155">
        <v>67</v>
      </c>
      <c r="E155" t="s">
        <v>5</v>
      </c>
      <c r="F155" t="s">
        <v>11</v>
      </c>
      <c r="G155" t="s">
        <v>8</v>
      </c>
      <c r="H155" t="s">
        <v>44</v>
      </c>
      <c r="I155" t="s">
        <v>14</v>
      </c>
      <c r="J155" t="s">
        <v>23</v>
      </c>
      <c r="K155" t="s">
        <v>98</v>
      </c>
      <c r="L155" t="s">
        <v>24</v>
      </c>
      <c r="M155" t="s">
        <v>14</v>
      </c>
      <c r="N155" t="s">
        <v>15</v>
      </c>
      <c r="O155" t="s">
        <v>16</v>
      </c>
      <c r="P155" t="s">
        <v>99</v>
      </c>
      <c r="Q155" t="s">
        <v>44</v>
      </c>
      <c r="R155" s="1">
        <v>26.485539750000001</v>
      </c>
    </row>
    <row r="156" spans="1:18" x14ac:dyDescent="0.25">
      <c r="A156" t="s">
        <v>97</v>
      </c>
      <c r="B156" t="s">
        <v>36</v>
      </c>
      <c r="C156">
        <v>171</v>
      </c>
      <c r="D156">
        <v>42</v>
      </c>
      <c r="E156" t="s">
        <v>5</v>
      </c>
      <c r="F156" t="s">
        <v>11</v>
      </c>
      <c r="G156" t="s">
        <v>44</v>
      </c>
      <c r="H156" t="s">
        <v>27</v>
      </c>
      <c r="I156" t="s">
        <v>14</v>
      </c>
      <c r="J156" t="s">
        <v>11</v>
      </c>
      <c r="K156" t="s">
        <v>12</v>
      </c>
      <c r="L156" t="s">
        <v>13</v>
      </c>
      <c r="M156" t="s">
        <v>14</v>
      </c>
      <c r="N156" t="s">
        <v>15</v>
      </c>
      <c r="O156" t="s">
        <v>16</v>
      </c>
      <c r="P156" t="s">
        <v>29</v>
      </c>
      <c r="Q156" t="s">
        <v>42</v>
      </c>
      <c r="R156" s="1">
        <v>20.745069390000001</v>
      </c>
    </row>
    <row r="157" spans="1:18" x14ac:dyDescent="0.25">
      <c r="A157" t="s">
        <v>97</v>
      </c>
      <c r="B157" t="s">
        <v>4</v>
      </c>
      <c r="C157">
        <v>185</v>
      </c>
      <c r="D157">
        <v>71</v>
      </c>
      <c r="E157" t="s">
        <v>5</v>
      </c>
      <c r="F157" t="s">
        <v>11</v>
      </c>
      <c r="G157" t="s">
        <v>8</v>
      </c>
      <c r="H157" t="s">
        <v>72</v>
      </c>
      <c r="I157" t="s">
        <v>90</v>
      </c>
      <c r="J157" t="s">
        <v>43</v>
      </c>
      <c r="K157" t="s">
        <v>14</v>
      </c>
      <c r="L157" t="s">
        <v>44</v>
      </c>
      <c r="M157" t="s">
        <v>91</v>
      </c>
      <c r="N157" t="s">
        <v>15</v>
      </c>
      <c r="O157" t="s">
        <v>55</v>
      </c>
      <c r="P157" t="s">
        <v>25</v>
      </c>
      <c r="Q157" t="s">
        <v>39</v>
      </c>
      <c r="R157" s="1">
        <v>26.446280990000002</v>
      </c>
    </row>
    <row r="158" spans="1:18" x14ac:dyDescent="0.25">
      <c r="A158" t="s">
        <v>97</v>
      </c>
      <c r="B158" t="s">
        <v>4</v>
      </c>
      <c r="C158">
        <v>176</v>
      </c>
      <c r="D158">
        <v>65</v>
      </c>
      <c r="E158" t="s">
        <v>5</v>
      </c>
      <c r="F158" t="s">
        <v>11</v>
      </c>
      <c r="G158" t="s">
        <v>8</v>
      </c>
      <c r="H158" t="s">
        <v>44</v>
      </c>
      <c r="I158" t="s">
        <v>14</v>
      </c>
      <c r="J158" t="s">
        <v>23</v>
      </c>
      <c r="K158" t="s">
        <v>98</v>
      </c>
      <c r="L158" t="s">
        <v>24</v>
      </c>
      <c r="M158" t="s">
        <v>14</v>
      </c>
      <c r="N158" t="s">
        <v>15</v>
      </c>
      <c r="O158" t="s">
        <v>16</v>
      </c>
      <c r="P158" t="s">
        <v>99</v>
      </c>
      <c r="Q158" t="s">
        <v>44</v>
      </c>
      <c r="R158" s="1">
        <v>27.12031558</v>
      </c>
    </row>
    <row r="159" spans="1:18" x14ac:dyDescent="0.25">
      <c r="A159" t="s">
        <v>97</v>
      </c>
      <c r="B159" t="s">
        <v>4</v>
      </c>
      <c r="C159">
        <v>176</v>
      </c>
      <c r="D159">
        <v>67</v>
      </c>
      <c r="E159" t="s">
        <v>5</v>
      </c>
      <c r="F159" t="s">
        <v>11</v>
      </c>
      <c r="G159" t="s">
        <v>8</v>
      </c>
      <c r="H159" t="s">
        <v>44</v>
      </c>
      <c r="I159" t="s">
        <v>14</v>
      </c>
      <c r="J159" t="s">
        <v>23</v>
      </c>
      <c r="K159" t="s">
        <v>98</v>
      </c>
      <c r="L159" t="s">
        <v>24</v>
      </c>
      <c r="M159" t="s">
        <v>14</v>
      </c>
      <c r="N159" t="s">
        <v>15</v>
      </c>
      <c r="O159" t="s">
        <v>16</v>
      </c>
      <c r="P159" t="s">
        <v>99</v>
      </c>
      <c r="Q159" t="s">
        <v>44</v>
      </c>
      <c r="R159" s="1">
        <v>26.29848784</v>
      </c>
    </row>
    <row r="160" spans="1:18" hidden="1" x14ac:dyDescent="0.25">
      <c r="A160" t="s">
        <v>97</v>
      </c>
      <c r="B160" t="s">
        <v>36</v>
      </c>
      <c r="C160">
        <v>171</v>
      </c>
      <c r="D160">
        <v>42</v>
      </c>
      <c r="E160" t="s">
        <v>5</v>
      </c>
      <c r="F160" t="s">
        <v>11</v>
      </c>
      <c r="G160" t="s">
        <v>44</v>
      </c>
      <c r="H160" t="s">
        <v>27</v>
      </c>
      <c r="I160" t="s">
        <v>14</v>
      </c>
      <c r="J160" t="s">
        <v>11</v>
      </c>
      <c r="K160" t="s">
        <v>12</v>
      </c>
      <c r="L160" t="s">
        <v>13</v>
      </c>
      <c r="M160" t="s">
        <v>14</v>
      </c>
      <c r="N160" t="s">
        <v>15</v>
      </c>
      <c r="O160" t="s">
        <v>16</v>
      </c>
      <c r="P160" t="s">
        <v>29</v>
      </c>
      <c r="Q160" t="s">
        <v>42</v>
      </c>
    </row>
    <row r="161" spans="1:18" hidden="1" x14ac:dyDescent="0.25">
      <c r="A161" t="s">
        <v>97</v>
      </c>
      <c r="B161" t="s">
        <v>4</v>
      </c>
      <c r="C161">
        <v>185</v>
      </c>
      <c r="D161">
        <v>71</v>
      </c>
      <c r="E161" t="s">
        <v>5</v>
      </c>
      <c r="F161" t="s">
        <v>11</v>
      </c>
      <c r="G161" t="s">
        <v>8</v>
      </c>
      <c r="H161" t="s">
        <v>72</v>
      </c>
      <c r="I161" t="s">
        <v>90</v>
      </c>
      <c r="J161" t="s">
        <v>43</v>
      </c>
      <c r="K161" t="s">
        <v>14</v>
      </c>
      <c r="L161" t="s">
        <v>44</v>
      </c>
      <c r="M161" t="s">
        <v>91</v>
      </c>
      <c r="N161" t="s">
        <v>15</v>
      </c>
      <c r="O161" t="s">
        <v>55</v>
      </c>
      <c r="P161" t="s">
        <v>25</v>
      </c>
      <c r="Q161" t="s">
        <v>39</v>
      </c>
    </row>
    <row r="162" spans="1:18" hidden="1" x14ac:dyDescent="0.25">
      <c r="A162" t="s">
        <v>97</v>
      </c>
      <c r="B162" t="s">
        <v>4</v>
      </c>
      <c r="C162">
        <v>176</v>
      </c>
      <c r="D162">
        <v>65</v>
      </c>
      <c r="E162" t="s">
        <v>5</v>
      </c>
      <c r="F162" t="s">
        <v>11</v>
      </c>
      <c r="G162" t="s">
        <v>8</v>
      </c>
      <c r="H162" t="s">
        <v>44</v>
      </c>
      <c r="I162" t="s">
        <v>14</v>
      </c>
      <c r="J162" t="s">
        <v>23</v>
      </c>
      <c r="K162" t="s">
        <v>98</v>
      </c>
      <c r="L162" t="s">
        <v>24</v>
      </c>
      <c r="M162" t="s">
        <v>14</v>
      </c>
      <c r="N162" t="s">
        <v>15</v>
      </c>
      <c r="O162" t="s">
        <v>16</v>
      </c>
      <c r="P162" t="s">
        <v>99</v>
      </c>
      <c r="Q162" t="s">
        <v>44</v>
      </c>
    </row>
    <row r="163" spans="1:18" hidden="1" x14ac:dyDescent="0.25">
      <c r="A163" t="s">
        <v>97</v>
      </c>
      <c r="B163" t="s">
        <v>4</v>
      </c>
      <c r="C163">
        <v>176</v>
      </c>
      <c r="D163">
        <v>67</v>
      </c>
      <c r="E163" t="s">
        <v>5</v>
      </c>
      <c r="F163" t="s">
        <v>11</v>
      </c>
      <c r="G163" t="s">
        <v>8</v>
      </c>
      <c r="H163" t="s">
        <v>44</v>
      </c>
      <c r="I163" t="s">
        <v>14</v>
      </c>
      <c r="J163" t="s">
        <v>23</v>
      </c>
      <c r="K163" t="s">
        <v>98</v>
      </c>
      <c r="L163" t="s">
        <v>24</v>
      </c>
      <c r="M163" t="s">
        <v>14</v>
      </c>
      <c r="N163" t="s">
        <v>15</v>
      </c>
      <c r="O163" t="s">
        <v>16</v>
      </c>
      <c r="P163" t="s">
        <v>99</v>
      </c>
      <c r="Q163" t="s">
        <v>44</v>
      </c>
    </row>
    <row r="164" spans="1:18" hidden="1" x14ac:dyDescent="0.25">
      <c r="A164" t="s">
        <v>97</v>
      </c>
      <c r="B164" t="s">
        <v>36</v>
      </c>
      <c r="C164">
        <v>156</v>
      </c>
      <c r="D164">
        <v>78</v>
      </c>
      <c r="E164" t="s">
        <v>5</v>
      </c>
      <c r="F164" t="s">
        <v>11</v>
      </c>
      <c r="G164" t="s">
        <v>8</v>
      </c>
      <c r="H164" t="s">
        <v>21</v>
      </c>
      <c r="I164" t="s">
        <v>10</v>
      </c>
      <c r="J164" t="s">
        <v>11</v>
      </c>
      <c r="K164" t="s">
        <v>12</v>
      </c>
      <c r="L164" t="s">
        <v>13</v>
      </c>
      <c r="M164" t="s">
        <v>100</v>
      </c>
      <c r="N164" t="s">
        <v>38</v>
      </c>
      <c r="O164" t="s">
        <v>55</v>
      </c>
      <c r="P164" t="s">
        <v>25</v>
      </c>
      <c r="Q164" t="s">
        <v>18</v>
      </c>
    </row>
    <row r="165" spans="1:18" hidden="1" x14ac:dyDescent="0.25">
      <c r="A165" t="s">
        <v>97</v>
      </c>
      <c r="B165" t="s">
        <v>36</v>
      </c>
      <c r="C165">
        <v>154</v>
      </c>
      <c r="D165">
        <v>77</v>
      </c>
      <c r="E165" t="s">
        <v>5</v>
      </c>
      <c r="F165" t="s">
        <v>11</v>
      </c>
      <c r="G165" t="s">
        <v>8</v>
      </c>
      <c r="H165" t="s">
        <v>21</v>
      </c>
      <c r="I165" t="s">
        <v>10</v>
      </c>
      <c r="J165" t="s">
        <v>11</v>
      </c>
      <c r="K165" t="s">
        <v>12</v>
      </c>
      <c r="L165" t="s">
        <v>13</v>
      </c>
      <c r="M165" t="s">
        <v>100</v>
      </c>
      <c r="N165" t="s">
        <v>38</v>
      </c>
      <c r="O165" t="s">
        <v>55</v>
      </c>
      <c r="P165" t="s">
        <v>25</v>
      </c>
      <c r="Q165" t="s">
        <v>18</v>
      </c>
    </row>
    <row r="166" spans="1:18" x14ac:dyDescent="0.25">
      <c r="A166" t="s">
        <v>101</v>
      </c>
      <c r="B166" t="s">
        <v>36</v>
      </c>
      <c r="C166">
        <v>154</v>
      </c>
      <c r="D166">
        <v>34</v>
      </c>
      <c r="E166" t="s">
        <v>5</v>
      </c>
      <c r="F166" t="s">
        <v>44</v>
      </c>
      <c r="G166" t="s">
        <v>8</v>
      </c>
      <c r="H166" t="s">
        <v>44</v>
      </c>
      <c r="I166" t="s">
        <v>14</v>
      </c>
      <c r="J166" t="s">
        <v>23</v>
      </c>
      <c r="K166" t="s">
        <v>12</v>
      </c>
      <c r="L166" t="s">
        <v>19</v>
      </c>
      <c r="M166" t="s">
        <v>37</v>
      </c>
      <c r="N166" t="s">
        <v>38</v>
      </c>
      <c r="O166" t="s">
        <v>55</v>
      </c>
      <c r="P166" t="s">
        <v>17</v>
      </c>
      <c r="Q166" t="s">
        <v>26</v>
      </c>
      <c r="R166" s="1">
        <v>14.33631304</v>
      </c>
    </row>
    <row r="167" spans="1:18" x14ac:dyDescent="0.25">
      <c r="A167" t="s">
        <v>101</v>
      </c>
      <c r="B167" t="s">
        <v>4</v>
      </c>
      <c r="C167">
        <v>178</v>
      </c>
      <c r="D167">
        <v>90</v>
      </c>
      <c r="E167" t="s">
        <v>5</v>
      </c>
      <c r="F167" t="s">
        <v>44</v>
      </c>
      <c r="G167" t="s">
        <v>19</v>
      </c>
      <c r="H167" t="s">
        <v>44</v>
      </c>
      <c r="I167" t="s">
        <v>22</v>
      </c>
      <c r="J167" t="s">
        <v>23</v>
      </c>
      <c r="K167" t="s">
        <v>12</v>
      </c>
      <c r="L167" t="s">
        <v>19</v>
      </c>
      <c r="M167" t="s">
        <v>37</v>
      </c>
      <c r="N167" t="s">
        <v>38</v>
      </c>
      <c r="O167" t="s">
        <v>16</v>
      </c>
      <c r="P167" t="s">
        <v>25</v>
      </c>
      <c r="Q167" t="s">
        <v>26</v>
      </c>
      <c r="R167" s="1">
        <v>28.405504359999998</v>
      </c>
    </row>
    <row r="168" spans="1:18" x14ac:dyDescent="0.25">
      <c r="A168" t="s">
        <v>101</v>
      </c>
      <c r="B168" t="s">
        <v>4</v>
      </c>
      <c r="C168">
        <v>168</v>
      </c>
      <c r="D168">
        <v>56</v>
      </c>
      <c r="E168" t="s">
        <v>54</v>
      </c>
      <c r="F168" t="s">
        <v>44</v>
      </c>
      <c r="G168" t="s">
        <v>20</v>
      </c>
      <c r="H168" t="s">
        <v>44</v>
      </c>
      <c r="I168" t="s">
        <v>22</v>
      </c>
      <c r="J168" t="s">
        <v>23</v>
      </c>
      <c r="K168" t="s">
        <v>50</v>
      </c>
      <c r="L168" t="s">
        <v>19</v>
      </c>
      <c r="M168" t="s">
        <v>45</v>
      </c>
      <c r="N168" t="s">
        <v>15</v>
      </c>
      <c r="O168" t="s">
        <v>16</v>
      </c>
      <c r="P168" t="s">
        <v>49</v>
      </c>
      <c r="Q168" t="s">
        <v>26</v>
      </c>
      <c r="R168" s="1">
        <v>24.489795919999999</v>
      </c>
    </row>
    <row r="169" spans="1:18" x14ac:dyDescent="0.25">
      <c r="A169" t="s">
        <v>101</v>
      </c>
      <c r="B169" t="s">
        <v>4</v>
      </c>
      <c r="C169">
        <v>176</v>
      </c>
      <c r="D169">
        <v>89</v>
      </c>
      <c r="E169" t="s">
        <v>5</v>
      </c>
      <c r="F169" t="s">
        <v>7</v>
      </c>
      <c r="G169" t="s">
        <v>8</v>
      </c>
      <c r="H169" t="s">
        <v>21</v>
      </c>
      <c r="I169" t="s">
        <v>14</v>
      </c>
      <c r="J169" t="s">
        <v>11</v>
      </c>
      <c r="K169" t="s">
        <v>12</v>
      </c>
      <c r="L169" t="s">
        <v>13</v>
      </c>
      <c r="M169" t="s">
        <v>102</v>
      </c>
      <c r="N169" t="s">
        <v>38</v>
      </c>
      <c r="O169" t="s">
        <v>55</v>
      </c>
      <c r="P169" t="s">
        <v>29</v>
      </c>
      <c r="Q169" t="s">
        <v>18</v>
      </c>
      <c r="R169" s="1">
        <v>22.309356409999999</v>
      </c>
    </row>
    <row r="170" spans="1:18" x14ac:dyDescent="0.25">
      <c r="A170" t="s">
        <v>101</v>
      </c>
      <c r="B170" t="s">
        <v>4</v>
      </c>
      <c r="C170">
        <v>166</v>
      </c>
      <c r="D170">
        <v>78</v>
      </c>
      <c r="E170" t="s">
        <v>5</v>
      </c>
      <c r="F170" t="s">
        <v>7</v>
      </c>
      <c r="G170" t="s">
        <v>8</v>
      </c>
      <c r="H170" t="s">
        <v>21</v>
      </c>
      <c r="I170" t="s">
        <v>14</v>
      </c>
      <c r="J170" t="s">
        <v>11</v>
      </c>
      <c r="K170" t="s">
        <v>12</v>
      </c>
      <c r="L170" t="s">
        <v>13</v>
      </c>
      <c r="M170" t="s">
        <v>102</v>
      </c>
      <c r="N170" t="s">
        <v>38</v>
      </c>
      <c r="O170" t="s">
        <v>55</v>
      </c>
      <c r="P170" t="s">
        <v>29</v>
      </c>
      <c r="Q170" t="s">
        <v>18</v>
      </c>
      <c r="R170" s="1">
        <v>22.53061224</v>
      </c>
    </row>
    <row r="171" spans="1:18" hidden="1" x14ac:dyDescent="0.25">
      <c r="A171" t="s">
        <v>101</v>
      </c>
      <c r="B171" t="s">
        <v>4</v>
      </c>
      <c r="C171">
        <v>166</v>
      </c>
      <c r="D171">
        <v>78</v>
      </c>
      <c r="E171" t="s">
        <v>5</v>
      </c>
      <c r="F171" t="s">
        <v>7</v>
      </c>
      <c r="G171" t="s">
        <v>8</v>
      </c>
      <c r="H171" t="s">
        <v>21</v>
      </c>
      <c r="I171" t="s">
        <v>14</v>
      </c>
      <c r="J171" t="s">
        <v>11</v>
      </c>
      <c r="K171" t="s">
        <v>12</v>
      </c>
      <c r="L171" t="s">
        <v>13</v>
      </c>
      <c r="M171" t="s">
        <v>102</v>
      </c>
      <c r="N171" t="s">
        <v>38</v>
      </c>
      <c r="O171" t="s">
        <v>55</v>
      </c>
      <c r="P171" t="s">
        <v>29</v>
      </c>
      <c r="Q171" t="s">
        <v>18</v>
      </c>
    </row>
    <row r="172" spans="1:18" hidden="1" x14ac:dyDescent="0.25">
      <c r="A172" t="s">
        <v>101</v>
      </c>
      <c r="B172" t="s">
        <v>36</v>
      </c>
      <c r="C172">
        <v>160</v>
      </c>
      <c r="D172">
        <v>57</v>
      </c>
      <c r="E172" t="s">
        <v>5</v>
      </c>
      <c r="F172" t="s">
        <v>11</v>
      </c>
      <c r="G172" t="s">
        <v>20</v>
      </c>
      <c r="H172" t="s">
        <v>44</v>
      </c>
      <c r="I172" t="s">
        <v>22</v>
      </c>
      <c r="J172" t="s">
        <v>11</v>
      </c>
      <c r="K172" t="s">
        <v>103</v>
      </c>
      <c r="L172" t="s">
        <v>13</v>
      </c>
      <c r="M172" t="s">
        <v>51</v>
      </c>
      <c r="N172" t="s">
        <v>15</v>
      </c>
      <c r="O172" t="s">
        <v>58</v>
      </c>
      <c r="P172" t="s">
        <v>25</v>
      </c>
      <c r="Q172" t="s">
        <v>26</v>
      </c>
    </row>
    <row r="173" spans="1:18" hidden="1" x14ac:dyDescent="0.25">
      <c r="A173" t="s">
        <v>101</v>
      </c>
      <c r="B173" t="s">
        <v>4</v>
      </c>
      <c r="C173">
        <v>156</v>
      </c>
      <c r="D173">
        <v>66</v>
      </c>
      <c r="E173" t="s">
        <v>54</v>
      </c>
      <c r="F173" t="s">
        <v>44</v>
      </c>
      <c r="G173" t="s">
        <v>20</v>
      </c>
      <c r="H173" t="s">
        <v>44</v>
      </c>
      <c r="I173" t="s">
        <v>14</v>
      </c>
      <c r="J173" t="s">
        <v>11</v>
      </c>
      <c r="K173" t="s">
        <v>12</v>
      </c>
      <c r="L173" t="s">
        <v>13</v>
      </c>
      <c r="M173" t="s">
        <v>51</v>
      </c>
      <c r="N173" t="s">
        <v>15</v>
      </c>
      <c r="O173" t="s">
        <v>58</v>
      </c>
      <c r="P173" t="s">
        <v>25</v>
      </c>
      <c r="Q173" t="s">
        <v>26</v>
      </c>
    </row>
    <row r="174" spans="1:18" x14ac:dyDescent="0.25">
      <c r="A174" t="s">
        <v>104</v>
      </c>
      <c r="B174" t="s">
        <v>4</v>
      </c>
      <c r="C174">
        <v>155</v>
      </c>
      <c r="D174">
        <v>49</v>
      </c>
      <c r="E174" t="s">
        <v>5</v>
      </c>
      <c r="F174" t="s">
        <v>19</v>
      </c>
      <c r="G174" t="s">
        <v>19</v>
      </c>
      <c r="H174" t="s">
        <v>9</v>
      </c>
      <c r="I174" t="s">
        <v>125</v>
      </c>
      <c r="J174" t="s">
        <v>11</v>
      </c>
      <c r="K174" t="s">
        <v>62</v>
      </c>
      <c r="L174" t="s">
        <v>24</v>
      </c>
      <c r="M174" t="s">
        <v>45</v>
      </c>
      <c r="N174" t="s">
        <v>46</v>
      </c>
      <c r="O174" t="s">
        <v>55</v>
      </c>
      <c r="P174" t="s">
        <v>25</v>
      </c>
      <c r="Q174" t="s">
        <v>26</v>
      </c>
      <c r="R174" s="1">
        <v>20.39542144</v>
      </c>
    </row>
    <row r="175" spans="1:18" x14ac:dyDescent="0.25">
      <c r="A175" t="s">
        <v>104</v>
      </c>
      <c r="B175" t="s">
        <v>4</v>
      </c>
      <c r="C175">
        <v>156</v>
      </c>
      <c r="D175">
        <v>58</v>
      </c>
      <c r="E175" t="s">
        <v>5</v>
      </c>
      <c r="F175" t="s">
        <v>6</v>
      </c>
      <c r="G175" t="s">
        <v>11</v>
      </c>
      <c r="H175" t="s">
        <v>21</v>
      </c>
      <c r="I175" t="s">
        <v>124</v>
      </c>
      <c r="J175" t="s">
        <v>11</v>
      </c>
      <c r="K175" t="s">
        <v>12</v>
      </c>
      <c r="L175" t="s">
        <v>13</v>
      </c>
      <c r="M175" t="s">
        <v>37</v>
      </c>
      <c r="N175" t="s">
        <v>65</v>
      </c>
      <c r="O175" t="s">
        <v>55</v>
      </c>
      <c r="P175" t="s">
        <v>17</v>
      </c>
      <c r="Q175" t="s">
        <v>26</v>
      </c>
      <c r="R175" s="1">
        <v>23.833004599999999</v>
      </c>
    </row>
    <row r="176" spans="1:18" x14ac:dyDescent="0.25">
      <c r="A176" t="s">
        <v>104</v>
      </c>
      <c r="B176" t="s">
        <v>4</v>
      </c>
      <c r="C176">
        <v>156</v>
      </c>
      <c r="D176">
        <v>43</v>
      </c>
      <c r="E176" t="s">
        <v>5</v>
      </c>
      <c r="F176" t="s">
        <v>19</v>
      </c>
      <c r="G176" t="s">
        <v>19</v>
      </c>
      <c r="H176" t="s">
        <v>9</v>
      </c>
      <c r="I176" t="s">
        <v>22</v>
      </c>
      <c r="J176" t="s">
        <v>23</v>
      </c>
      <c r="K176" t="s">
        <v>62</v>
      </c>
      <c r="L176" t="s">
        <v>19</v>
      </c>
      <c r="M176" t="s">
        <v>37</v>
      </c>
      <c r="N176" t="s">
        <v>38</v>
      </c>
      <c r="O176" t="s">
        <v>16</v>
      </c>
      <c r="P176" t="s">
        <v>48</v>
      </c>
      <c r="Q176" t="s">
        <v>26</v>
      </c>
      <c r="R176" s="1">
        <v>17.66929652</v>
      </c>
    </row>
    <row r="177" spans="1:18" x14ac:dyDescent="0.25">
      <c r="A177" t="s">
        <v>104</v>
      </c>
      <c r="B177" t="s">
        <v>4</v>
      </c>
      <c r="C177">
        <v>156</v>
      </c>
      <c r="D177">
        <v>42</v>
      </c>
      <c r="E177" t="s">
        <v>54</v>
      </c>
      <c r="F177" t="s">
        <v>7</v>
      </c>
      <c r="G177" t="s">
        <v>11</v>
      </c>
      <c r="H177" t="s">
        <v>21</v>
      </c>
      <c r="I177" t="s">
        <v>138</v>
      </c>
      <c r="J177" t="s">
        <v>11</v>
      </c>
      <c r="K177" t="s">
        <v>62</v>
      </c>
      <c r="L177" t="s">
        <v>13</v>
      </c>
      <c r="M177" t="s">
        <v>14</v>
      </c>
      <c r="N177" t="s">
        <v>15</v>
      </c>
      <c r="O177" t="s">
        <v>16</v>
      </c>
      <c r="P177" t="s">
        <v>17</v>
      </c>
      <c r="Q177" t="s">
        <v>26</v>
      </c>
      <c r="R177" s="1">
        <v>17.258382640000001</v>
      </c>
    </row>
    <row r="178" spans="1:18" x14ac:dyDescent="0.25">
      <c r="A178" t="s">
        <v>104</v>
      </c>
      <c r="B178" t="s">
        <v>4</v>
      </c>
      <c r="C178">
        <v>147</v>
      </c>
      <c r="D178">
        <v>35</v>
      </c>
      <c r="E178" t="s">
        <v>54</v>
      </c>
      <c r="F178" t="s">
        <v>19</v>
      </c>
      <c r="G178" t="s">
        <v>8</v>
      </c>
      <c r="H178" t="s">
        <v>9</v>
      </c>
      <c r="I178" t="s">
        <v>139</v>
      </c>
      <c r="J178" t="s">
        <v>23</v>
      </c>
      <c r="K178" t="s">
        <v>62</v>
      </c>
      <c r="L178" t="s">
        <v>19</v>
      </c>
      <c r="M178" t="s">
        <v>45</v>
      </c>
      <c r="N178" t="s">
        <v>15</v>
      </c>
      <c r="O178" t="s">
        <v>16</v>
      </c>
      <c r="P178" t="s">
        <v>25</v>
      </c>
      <c r="Q178" t="s">
        <v>26</v>
      </c>
      <c r="R178" s="1">
        <v>31.020408159999999</v>
      </c>
    </row>
    <row r="179" spans="1:18" x14ac:dyDescent="0.25">
      <c r="A179" t="s">
        <v>104</v>
      </c>
      <c r="B179" t="s">
        <v>4</v>
      </c>
      <c r="C179">
        <v>174</v>
      </c>
      <c r="D179">
        <v>53</v>
      </c>
      <c r="E179" t="s">
        <v>66</v>
      </c>
      <c r="F179" t="s">
        <v>7</v>
      </c>
      <c r="G179" t="s">
        <v>20</v>
      </c>
      <c r="H179" t="s">
        <v>40</v>
      </c>
      <c r="I179" t="s">
        <v>127</v>
      </c>
      <c r="J179" t="s">
        <v>23</v>
      </c>
      <c r="K179" t="s">
        <v>12</v>
      </c>
      <c r="L179" t="s">
        <v>32</v>
      </c>
      <c r="M179" t="s">
        <v>64</v>
      </c>
      <c r="N179" t="s">
        <v>38</v>
      </c>
      <c r="O179" t="s">
        <v>34</v>
      </c>
      <c r="P179" t="s">
        <v>17</v>
      </c>
      <c r="Q179" t="s">
        <v>18</v>
      </c>
      <c r="R179" s="1">
        <v>20.195092209999999</v>
      </c>
    </row>
    <row r="180" spans="1:18" x14ac:dyDescent="0.25">
      <c r="A180" t="s">
        <v>104</v>
      </c>
      <c r="B180" t="s">
        <v>4</v>
      </c>
      <c r="C180">
        <v>153</v>
      </c>
      <c r="D180">
        <v>53</v>
      </c>
      <c r="E180" t="s">
        <v>5</v>
      </c>
      <c r="F180" t="s">
        <v>6</v>
      </c>
      <c r="G180" t="s">
        <v>44</v>
      </c>
      <c r="H180" t="s">
        <v>9</v>
      </c>
      <c r="I180" t="s">
        <v>105</v>
      </c>
      <c r="J180" t="s">
        <v>43</v>
      </c>
      <c r="K180" t="s">
        <v>14</v>
      </c>
      <c r="L180" t="s">
        <v>44</v>
      </c>
      <c r="M180" t="s">
        <v>47</v>
      </c>
      <c r="N180" t="s">
        <v>15</v>
      </c>
      <c r="O180" t="s">
        <v>16</v>
      </c>
      <c r="P180" t="s">
        <v>14</v>
      </c>
      <c r="Q180" t="s">
        <v>26</v>
      </c>
      <c r="R180" s="1">
        <v>22.92097107</v>
      </c>
    </row>
    <row r="181" spans="1:18" x14ac:dyDescent="0.25">
      <c r="A181" t="s">
        <v>104</v>
      </c>
      <c r="B181" t="s">
        <v>4</v>
      </c>
      <c r="C181">
        <v>150</v>
      </c>
      <c r="D181">
        <v>55</v>
      </c>
      <c r="E181" t="s">
        <v>54</v>
      </c>
      <c r="F181" t="s">
        <v>7</v>
      </c>
      <c r="G181" t="s">
        <v>8</v>
      </c>
      <c r="H181" t="s">
        <v>72</v>
      </c>
      <c r="I181" t="s">
        <v>69</v>
      </c>
      <c r="J181" t="s">
        <v>11</v>
      </c>
      <c r="K181" t="s">
        <v>62</v>
      </c>
      <c r="L181" t="s">
        <v>13</v>
      </c>
      <c r="M181" t="s">
        <v>14</v>
      </c>
      <c r="N181" t="s">
        <v>15</v>
      </c>
      <c r="O181" t="s">
        <v>34</v>
      </c>
      <c r="P181" t="s">
        <v>14</v>
      </c>
      <c r="Q181" t="s">
        <v>42</v>
      </c>
      <c r="R181" s="1">
        <v>19.047004130000001</v>
      </c>
    </row>
    <row r="182" spans="1:18" x14ac:dyDescent="0.25">
      <c r="A182" t="s">
        <v>104</v>
      </c>
      <c r="B182" t="s">
        <v>36</v>
      </c>
      <c r="C182">
        <v>154</v>
      </c>
      <c r="D182">
        <v>61</v>
      </c>
      <c r="E182" t="s">
        <v>54</v>
      </c>
      <c r="F182" t="s">
        <v>7</v>
      </c>
      <c r="G182" t="s">
        <v>8</v>
      </c>
      <c r="H182" t="s">
        <v>72</v>
      </c>
      <c r="I182" t="s">
        <v>22</v>
      </c>
      <c r="J182" t="s">
        <v>11</v>
      </c>
      <c r="K182" t="s">
        <v>74</v>
      </c>
      <c r="L182" t="s">
        <v>13</v>
      </c>
      <c r="M182" t="s">
        <v>45</v>
      </c>
      <c r="N182" t="s">
        <v>15</v>
      </c>
      <c r="O182" t="s">
        <v>34</v>
      </c>
      <c r="P182" t="s">
        <v>48</v>
      </c>
      <c r="Q182" t="s">
        <v>26</v>
      </c>
      <c r="R182" s="1">
        <v>26.233555800000001</v>
      </c>
    </row>
    <row r="183" spans="1:18" x14ac:dyDescent="0.25">
      <c r="A183" t="s">
        <v>104</v>
      </c>
      <c r="B183" t="s">
        <v>4</v>
      </c>
      <c r="C183">
        <v>154</v>
      </c>
      <c r="D183">
        <v>52</v>
      </c>
      <c r="E183" t="s">
        <v>54</v>
      </c>
      <c r="F183" t="s">
        <v>7</v>
      </c>
      <c r="G183" t="s">
        <v>8</v>
      </c>
      <c r="H183" t="s">
        <v>72</v>
      </c>
      <c r="I183" t="s">
        <v>69</v>
      </c>
      <c r="J183" t="s">
        <v>11</v>
      </c>
      <c r="K183" t="s">
        <v>62</v>
      </c>
      <c r="L183" t="s">
        <v>13</v>
      </c>
      <c r="M183" t="s">
        <v>14</v>
      </c>
      <c r="N183" t="s">
        <v>15</v>
      </c>
      <c r="O183" t="s">
        <v>34</v>
      </c>
      <c r="P183" t="s">
        <v>14</v>
      </c>
      <c r="Q183" t="s">
        <v>42</v>
      </c>
      <c r="R183" s="1">
        <v>20.549886619999999</v>
      </c>
    </row>
    <row r="184" spans="1:18" x14ac:dyDescent="0.25">
      <c r="A184" t="s">
        <v>104</v>
      </c>
      <c r="B184" t="s">
        <v>4</v>
      </c>
      <c r="C184">
        <v>151</v>
      </c>
      <c r="D184">
        <v>49</v>
      </c>
      <c r="E184" t="s">
        <v>5</v>
      </c>
      <c r="F184" t="s">
        <v>6</v>
      </c>
      <c r="G184" t="s">
        <v>44</v>
      </c>
      <c r="H184" t="s">
        <v>9</v>
      </c>
      <c r="I184" t="s">
        <v>105</v>
      </c>
      <c r="J184" t="s">
        <v>43</v>
      </c>
      <c r="K184" t="s">
        <v>14</v>
      </c>
      <c r="L184" t="s">
        <v>44</v>
      </c>
      <c r="M184" t="s">
        <v>47</v>
      </c>
      <c r="N184" t="s">
        <v>15</v>
      </c>
      <c r="O184" t="s">
        <v>16</v>
      </c>
      <c r="P184" t="s">
        <v>14</v>
      </c>
      <c r="Q184" t="s">
        <v>26</v>
      </c>
      <c r="R184" s="1">
        <v>21.877551019999999</v>
      </c>
    </row>
    <row r="185" spans="1:18" x14ac:dyDescent="0.25">
      <c r="A185" t="s">
        <v>104</v>
      </c>
      <c r="B185" t="s">
        <v>4</v>
      </c>
      <c r="C185">
        <v>154</v>
      </c>
      <c r="D185">
        <v>64</v>
      </c>
      <c r="E185" t="s">
        <v>54</v>
      </c>
      <c r="F185" t="s">
        <v>7</v>
      </c>
      <c r="G185" t="s">
        <v>8</v>
      </c>
      <c r="H185" t="s">
        <v>72</v>
      </c>
      <c r="I185" t="s">
        <v>22</v>
      </c>
      <c r="J185" t="s">
        <v>11</v>
      </c>
      <c r="K185" t="s">
        <v>74</v>
      </c>
      <c r="L185" t="s">
        <v>13</v>
      </c>
      <c r="M185" t="s">
        <v>45</v>
      </c>
      <c r="N185" t="s">
        <v>15</v>
      </c>
      <c r="O185" t="s">
        <v>34</v>
      </c>
      <c r="P185" t="s">
        <v>48</v>
      </c>
      <c r="Q185" t="s">
        <v>26</v>
      </c>
      <c r="R185" s="1">
        <v>25.593737059999999</v>
      </c>
    </row>
    <row r="186" spans="1:18" hidden="1" x14ac:dyDescent="0.25">
      <c r="A186" t="s">
        <v>104</v>
      </c>
      <c r="B186" t="s">
        <v>36</v>
      </c>
      <c r="C186">
        <v>154</v>
      </c>
      <c r="D186">
        <v>61</v>
      </c>
      <c r="E186" t="s">
        <v>54</v>
      </c>
      <c r="F186" t="s">
        <v>7</v>
      </c>
      <c r="G186" t="s">
        <v>8</v>
      </c>
      <c r="H186" t="s">
        <v>72</v>
      </c>
      <c r="I186" t="s">
        <v>22</v>
      </c>
      <c r="J186" t="s">
        <v>11</v>
      </c>
      <c r="K186" t="s">
        <v>74</v>
      </c>
      <c r="L186" t="s">
        <v>13</v>
      </c>
      <c r="M186" t="s">
        <v>45</v>
      </c>
      <c r="N186" t="s">
        <v>15</v>
      </c>
      <c r="O186" t="s">
        <v>34</v>
      </c>
      <c r="P186" t="s">
        <v>48</v>
      </c>
      <c r="Q186" t="s">
        <v>26</v>
      </c>
    </row>
    <row r="187" spans="1:18" hidden="1" x14ac:dyDescent="0.25">
      <c r="A187" t="s">
        <v>104</v>
      </c>
      <c r="B187" t="s">
        <v>4</v>
      </c>
      <c r="C187">
        <v>154</v>
      </c>
      <c r="D187">
        <v>52</v>
      </c>
      <c r="E187" t="s">
        <v>54</v>
      </c>
      <c r="F187" t="s">
        <v>7</v>
      </c>
      <c r="G187" t="s">
        <v>8</v>
      </c>
      <c r="H187" t="s">
        <v>72</v>
      </c>
      <c r="I187" t="s">
        <v>69</v>
      </c>
      <c r="J187" t="s">
        <v>11</v>
      </c>
      <c r="K187" t="s">
        <v>62</v>
      </c>
      <c r="L187" t="s">
        <v>13</v>
      </c>
      <c r="M187" t="s">
        <v>14</v>
      </c>
      <c r="N187" t="s">
        <v>15</v>
      </c>
      <c r="O187" t="s">
        <v>34</v>
      </c>
      <c r="P187" t="s">
        <v>14</v>
      </c>
      <c r="Q187" t="s">
        <v>42</v>
      </c>
    </row>
    <row r="188" spans="1:18" hidden="1" x14ac:dyDescent="0.25">
      <c r="A188" t="s">
        <v>104</v>
      </c>
      <c r="B188" t="s">
        <v>4</v>
      </c>
      <c r="C188">
        <v>151</v>
      </c>
      <c r="D188">
        <v>49</v>
      </c>
      <c r="E188" t="s">
        <v>5</v>
      </c>
      <c r="F188" t="s">
        <v>6</v>
      </c>
      <c r="G188" t="s">
        <v>44</v>
      </c>
      <c r="H188" t="s">
        <v>9</v>
      </c>
      <c r="I188" t="s">
        <v>105</v>
      </c>
      <c r="J188" t="s">
        <v>43</v>
      </c>
      <c r="K188" t="s">
        <v>14</v>
      </c>
      <c r="L188" t="s">
        <v>44</v>
      </c>
      <c r="M188" t="s">
        <v>47</v>
      </c>
      <c r="N188" t="s">
        <v>15</v>
      </c>
      <c r="O188" t="s">
        <v>16</v>
      </c>
      <c r="P188" t="s">
        <v>14</v>
      </c>
      <c r="Q188" t="s">
        <v>26</v>
      </c>
    </row>
    <row r="189" spans="1:18" hidden="1" x14ac:dyDescent="0.25">
      <c r="A189" t="s">
        <v>104</v>
      </c>
      <c r="B189" t="s">
        <v>4</v>
      </c>
      <c r="C189">
        <v>154</v>
      </c>
      <c r="D189">
        <v>64</v>
      </c>
      <c r="E189" t="s">
        <v>54</v>
      </c>
      <c r="F189" t="s">
        <v>7</v>
      </c>
      <c r="G189" t="s">
        <v>8</v>
      </c>
      <c r="H189" t="s">
        <v>72</v>
      </c>
      <c r="I189" t="s">
        <v>22</v>
      </c>
      <c r="J189" t="s">
        <v>11</v>
      </c>
      <c r="K189" t="s">
        <v>74</v>
      </c>
      <c r="L189" t="s">
        <v>13</v>
      </c>
      <c r="M189" t="s">
        <v>45</v>
      </c>
      <c r="N189" t="s">
        <v>15</v>
      </c>
      <c r="O189" t="s">
        <v>34</v>
      </c>
      <c r="P189" t="s">
        <v>48</v>
      </c>
      <c r="Q189" t="s">
        <v>26</v>
      </c>
    </row>
    <row r="190" spans="1:18" hidden="1" x14ac:dyDescent="0.25">
      <c r="A190" t="s">
        <v>104</v>
      </c>
      <c r="B190" t="s">
        <v>4</v>
      </c>
      <c r="C190">
        <v>153</v>
      </c>
      <c r="D190">
        <v>55</v>
      </c>
      <c r="E190" t="s">
        <v>54</v>
      </c>
      <c r="F190" t="s">
        <v>7</v>
      </c>
      <c r="G190" t="s">
        <v>8</v>
      </c>
      <c r="H190" t="s">
        <v>72</v>
      </c>
      <c r="I190" t="s">
        <v>69</v>
      </c>
      <c r="J190" t="s">
        <v>11</v>
      </c>
      <c r="K190" t="s">
        <v>62</v>
      </c>
      <c r="L190" t="s">
        <v>13</v>
      </c>
      <c r="M190" t="s">
        <v>14</v>
      </c>
      <c r="N190" t="s">
        <v>15</v>
      </c>
      <c r="O190" t="s">
        <v>34</v>
      </c>
      <c r="P190" t="s">
        <v>14</v>
      </c>
      <c r="Q190" t="s">
        <v>42</v>
      </c>
    </row>
    <row r="191" spans="1:18" hidden="1" x14ac:dyDescent="0.25">
      <c r="A191" t="s">
        <v>104</v>
      </c>
      <c r="B191" t="s">
        <v>4</v>
      </c>
      <c r="C191">
        <v>159</v>
      </c>
      <c r="D191">
        <v>46</v>
      </c>
      <c r="E191" t="s">
        <v>5</v>
      </c>
      <c r="F191" t="s">
        <v>7</v>
      </c>
      <c r="G191" t="s">
        <v>19</v>
      </c>
      <c r="H191" t="s">
        <v>21</v>
      </c>
      <c r="I191" t="s">
        <v>131</v>
      </c>
      <c r="J191" t="s">
        <v>23</v>
      </c>
      <c r="K191" t="s">
        <v>62</v>
      </c>
      <c r="L191" t="s">
        <v>19</v>
      </c>
      <c r="M191" t="s">
        <v>14</v>
      </c>
      <c r="N191" t="s">
        <v>46</v>
      </c>
      <c r="O191" t="s">
        <v>34</v>
      </c>
      <c r="P191" t="s">
        <v>14</v>
      </c>
      <c r="Q191" t="s">
        <v>26</v>
      </c>
    </row>
    <row r="192" spans="1:18" hidden="1" x14ac:dyDescent="0.25">
      <c r="A192" t="s">
        <v>104</v>
      </c>
      <c r="B192" t="s">
        <v>4</v>
      </c>
      <c r="C192">
        <v>167</v>
      </c>
      <c r="D192">
        <v>59</v>
      </c>
      <c r="E192" t="s">
        <v>54</v>
      </c>
      <c r="F192" t="s">
        <v>6</v>
      </c>
      <c r="G192" t="s">
        <v>20</v>
      </c>
      <c r="H192" t="s">
        <v>9</v>
      </c>
      <c r="I192" t="s">
        <v>128</v>
      </c>
      <c r="J192" t="s">
        <v>23</v>
      </c>
      <c r="K192" t="s">
        <v>62</v>
      </c>
      <c r="L192" t="s">
        <v>32</v>
      </c>
      <c r="M192" t="s">
        <v>37</v>
      </c>
      <c r="N192" t="s">
        <v>65</v>
      </c>
      <c r="O192" t="s">
        <v>34</v>
      </c>
      <c r="P192" t="s">
        <v>80</v>
      </c>
      <c r="Q192" t="s">
        <v>39</v>
      </c>
    </row>
    <row r="193" spans="1:17" hidden="1" x14ac:dyDescent="0.25">
      <c r="A193" t="s">
        <v>104</v>
      </c>
      <c r="B193" t="s">
        <v>4</v>
      </c>
      <c r="C193">
        <v>184</v>
      </c>
      <c r="D193">
        <v>68</v>
      </c>
      <c r="E193" t="s">
        <v>5</v>
      </c>
      <c r="F193" t="s">
        <v>7</v>
      </c>
      <c r="G193" t="s">
        <v>8</v>
      </c>
      <c r="H193" t="s">
        <v>9</v>
      </c>
      <c r="I193" t="s">
        <v>81</v>
      </c>
      <c r="J193" t="s">
        <v>23</v>
      </c>
      <c r="K193" t="s">
        <v>12</v>
      </c>
      <c r="L193" t="s">
        <v>32</v>
      </c>
      <c r="M193" t="s">
        <v>82</v>
      </c>
      <c r="N193" t="s">
        <v>38</v>
      </c>
      <c r="O193" t="s">
        <v>58</v>
      </c>
      <c r="P193" t="s">
        <v>14</v>
      </c>
      <c r="Q193" t="s">
        <v>42</v>
      </c>
    </row>
    <row r="194" spans="1:17" hidden="1" x14ac:dyDescent="0.25">
      <c r="A194" t="s">
        <v>104</v>
      </c>
      <c r="B194" t="s">
        <v>4</v>
      </c>
      <c r="C194">
        <v>162</v>
      </c>
      <c r="D194">
        <v>49</v>
      </c>
      <c r="E194" t="s">
        <v>5</v>
      </c>
      <c r="F194" t="s">
        <v>7</v>
      </c>
      <c r="G194" t="s">
        <v>19</v>
      </c>
      <c r="H194" t="s">
        <v>21</v>
      </c>
      <c r="I194" t="s">
        <v>131</v>
      </c>
      <c r="J194" t="s">
        <v>23</v>
      </c>
      <c r="K194" t="s">
        <v>62</v>
      </c>
      <c r="L194" t="s">
        <v>19</v>
      </c>
      <c r="M194" t="s">
        <v>14</v>
      </c>
      <c r="N194" t="s">
        <v>46</v>
      </c>
      <c r="O194" t="s">
        <v>34</v>
      </c>
      <c r="P194" t="s">
        <v>14</v>
      </c>
      <c r="Q194" t="s">
        <v>26</v>
      </c>
    </row>
    <row r="195" spans="1:17" hidden="1" x14ac:dyDescent="0.25"/>
    <row r="196" spans="1:17" hidden="1" x14ac:dyDescent="0.25"/>
    <row r="197" spans="1:17" hidden="1" x14ac:dyDescent="0.25"/>
    <row r="198" spans="1:17" hidden="1" x14ac:dyDescent="0.25"/>
    <row r="199" spans="1:17" hidden="1" x14ac:dyDescent="0.25"/>
    <row r="200" spans="1:17" hidden="1" x14ac:dyDescent="0.25"/>
    <row r="201" spans="1:17" hidden="1" x14ac:dyDescent="0.25"/>
    <row r="202" spans="1:17" hidden="1" x14ac:dyDescent="0.25"/>
    <row r="203" spans="1:17" hidden="1" x14ac:dyDescent="0.25"/>
    <row r="204" spans="1:17" hidden="1" x14ac:dyDescent="0.25"/>
    <row r="205" spans="1:17" hidden="1" x14ac:dyDescent="0.25"/>
    <row r="206" spans="1:17" hidden="1" x14ac:dyDescent="0.25"/>
    <row r="207" spans="1:17" hidden="1" x14ac:dyDescent="0.25"/>
    <row r="208" spans="1:17"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sheetData>
  <autoFilter ref="R1:R297" xr:uid="{2E051685-72B7-4539-9093-D796568E3916}">
    <filterColumn colId="0">
      <customFilters>
        <customFilter operator="notEqual" val=" "/>
      </customFilters>
    </filterColumn>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50D8F-8878-42A5-9AA3-BC39317FC285}">
  <sheetPr codeName="Sheet2"/>
  <dimension ref="A1:R129"/>
  <sheetViews>
    <sheetView workbookViewId="0">
      <selection activeCell="C14" sqref="C14"/>
    </sheetView>
  </sheetViews>
  <sheetFormatPr defaultRowHeight="15" x14ac:dyDescent="0.25"/>
  <cols>
    <col min="1" max="1" width="13" customWidth="1"/>
    <col min="2" max="2" width="10.28515625" customWidth="1"/>
    <col min="3" max="3" width="15.140625" customWidth="1"/>
    <col min="4" max="4" width="15.28515625" customWidth="1"/>
    <col min="5" max="5" width="14.140625" customWidth="1"/>
    <col min="6" max="6" width="24.5703125" customWidth="1"/>
    <col min="7" max="7" width="43.28515625" customWidth="1"/>
    <col min="8" max="8" width="32.7109375" customWidth="1"/>
    <col min="9" max="9" width="29.140625" customWidth="1"/>
    <col min="10" max="10" width="24.85546875" customWidth="1"/>
    <col min="11" max="11" width="24.140625" customWidth="1"/>
    <col min="12" max="12" width="27" customWidth="1"/>
    <col min="13" max="13" width="14.85546875" customWidth="1"/>
    <col min="14" max="14" width="16.140625" customWidth="1"/>
    <col min="15" max="15" width="23.140625" customWidth="1"/>
    <col min="16" max="16" width="25.28515625" customWidth="1"/>
    <col min="17" max="17" width="29.42578125" customWidth="1"/>
  </cols>
  <sheetData>
    <row r="1" spans="1:18" x14ac:dyDescent="0.25">
      <c r="A1" t="s">
        <v>106</v>
      </c>
      <c r="B1" t="s">
        <v>107</v>
      </c>
      <c r="C1" t="s">
        <v>0</v>
      </c>
      <c r="D1" t="s">
        <v>1</v>
      </c>
      <c r="E1" t="s">
        <v>108</v>
      </c>
      <c r="F1" t="s">
        <v>109</v>
      </c>
      <c r="G1" t="s">
        <v>118</v>
      </c>
      <c r="H1" t="s">
        <v>119</v>
      </c>
      <c r="I1" t="s">
        <v>110</v>
      </c>
      <c r="J1" t="s">
        <v>120</v>
      </c>
      <c r="K1" t="s">
        <v>111</v>
      </c>
      <c r="L1" t="s">
        <v>112</v>
      </c>
      <c r="M1" t="s">
        <v>113</v>
      </c>
      <c r="N1" t="s">
        <v>114</v>
      </c>
      <c r="O1" t="s">
        <v>115</v>
      </c>
      <c r="P1" t="s">
        <v>116</v>
      </c>
      <c r="Q1" t="s">
        <v>117</v>
      </c>
      <c r="R1" s="1" t="s">
        <v>2</v>
      </c>
    </row>
    <row r="2" spans="1:18" x14ac:dyDescent="0.25">
      <c r="A2" t="s">
        <v>3</v>
      </c>
      <c r="B2" t="s">
        <v>4</v>
      </c>
      <c r="C2">
        <v>165</v>
      </c>
      <c r="D2">
        <v>72</v>
      </c>
      <c r="E2" t="s">
        <v>5</v>
      </c>
      <c r="F2" t="s">
        <v>7</v>
      </c>
      <c r="G2" t="s">
        <v>8</v>
      </c>
      <c r="H2" t="s">
        <v>9</v>
      </c>
      <c r="I2" t="s">
        <v>10</v>
      </c>
      <c r="J2" t="s">
        <v>11</v>
      </c>
      <c r="K2" t="s">
        <v>12</v>
      </c>
      <c r="L2" t="s">
        <v>13</v>
      </c>
      <c r="M2" t="s">
        <v>14</v>
      </c>
      <c r="N2" t="s">
        <v>15</v>
      </c>
      <c r="O2" t="s">
        <v>16</v>
      </c>
      <c r="P2" t="s">
        <v>17</v>
      </c>
      <c r="Q2" t="s">
        <v>18</v>
      </c>
      <c r="R2" s="1">
        <v>26.446280990000002</v>
      </c>
    </row>
    <row r="3" spans="1:18" x14ac:dyDescent="0.25">
      <c r="A3" t="s">
        <v>3</v>
      </c>
      <c r="B3" t="s">
        <v>4</v>
      </c>
      <c r="C3">
        <v>178</v>
      </c>
      <c r="D3">
        <v>60</v>
      </c>
      <c r="E3" t="s">
        <v>5</v>
      </c>
      <c r="F3" t="s">
        <v>11</v>
      </c>
      <c r="G3" t="s">
        <v>20</v>
      </c>
      <c r="H3" t="s">
        <v>21</v>
      </c>
      <c r="I3" t="s">
        <v>22</v>
      </c>
      <c r="J3" t="s">
        <v>23</v>
      </c>
      <c r="K3" t="s">
        <v>12</v>
      </c>
      <c r="L3" t="s">
        <v>24</v>
      </c>
      <c r="M3" t="s">
        <v>14</v>
      </c>
      <c r="N3" t="s">
        <v>15</v>
      </c>
      <c r="O3" t="s">
        <v>16</v>
      </c>
      <c r="P3" t="s">
        <v>25</v>
      </c>
      <c r="Q3" t="s">
        <v>26</v>
      </c>
      <c r="R3" s="1">
        <v>18.9370029</v>
      </c>
    </row>
    <row r="4" spans="1:18" x14ac:dyDescent="0.25">
      <c r="A4" t="s">
        <v>3</v>
      </c>
      <c r="B4" t="s">
        <v>4</v>
      </c>
      <c r="C4">
        <v>176</v>
      </c>
      <c r="D4">
        <v>60</v>
      </c>
      <c r="E4" t="s">
        <v>5</v>
      </c>
      <c r="F4" t="s">
        <v>7</v>
      </c>
      <c r="G4" t="s">
        <v>8</v>
      </c>
      <c r="H4" t="s">
        <v>21</v>
      </c>
      <c r="I4" t="s">
        <v>14</v>
      </c>
      <c r="J4" t="s">
        <v>23</v>
      </c>
      <c r="K4" t="s">
        <v>28</v>
      </c>
      <c r="L4" t="s">
        <v>13</v>
      </c>
      <c r="M4" t="s">
        <v>14</v>
      </c>
      <c r="N4" t="s">
        <v>15</v>
      </c>
      <c r="O4" t="s">
        <v>16</v>
      </c>
      <c r="P4" t="s">
        <v>29</v>
      </c>
      <c r="Q4" t="s">
        <v>26</v>
      </c>
      <c r="R4" s="1">
        <v>19.369834709999999</v>
      </c>
    </row>
    <row r="5" spans="1:18" x14ac:dyDescent="0.25">
      <c r="A5" t="s">
        <v>3</v>
      </c>
      <c r="B5" t="s">
        <v>4</v>
      </c>
      <c r="C5">
        <v>175</v>
      </c>
      <c r="D5">
        <v>75</v>
      </c>
      <c r="E5" t="s">
        <v>5</v>
      </c>
      <c r="F5" t="s">
        <v>7</v>
      </c>
      <c r="G5" t="s">
        <v>8</v>
      </c>
      <c r="H5" t="s">
        <v>30</v>
      </c>
      <c r="I5" t="s">
        <v>121</v>
      </c>
      <c r="J5" t="s">
        <v>11</v>
      </c>
      <c r="K5" t="s">
        <v>31</v>
      </c>
      <c r="L5" t="s">
        <v>32</v>
      </c>
      <c r="M5" t="s">
        <v>33</v>
      </c>
      <c r="N5" t="s">
        <v>15</v>
      </c>
      <c r="O5" t="s">
        <v>34</v>
      </c>
      <c r="P5" t="s">
        <v>35</v>
      </c>
      <c r="Q5" t="s">
        <v>18</v>
      </c>
      <c r="R5" s="1">
        <v>24.489795919999999</v>
      </c>
    </row>
    <row r="6" spans="1:18" x14ac:dyDescent="0.25">
      <c r="A6" t="s">
        <v>3</v>
      </c>
      <c r="B6" t="s">
        <v>36</v>
      </c>
      <c r="C6">
        <v>180</v>
      </c>
      <c r="D6">
        <v>62</v>
      </c>
      <c r="E6" t="s">
        <v>5</v>
      </c>
      <c r="F6" t="s">
        <v>7</v>
      </c>
      <c r="G6" t="s">
        <v>8</v>
      </c>
      <c r="H6" t="s">
        <v>30</v>
      </c>
      <c r="I6" t="s">
        <v>10</v>
      </c>
      <c r="J6" t="s">
        <v>11</v>
      </c>
      <c r="K6" t="s">
        <v>12</v>
      </c>
      <c r="L6" t="s">
        <v>13</v>
      </c>
      <c r="M6" t="s">
        <v>37</v>
      </c>
      <c r="N6" t="s">
        <v>38</v>
      </c>
      <c r="O6" t="s">
        <v>34</v>
      </c>
      <c r="P6" t="s">
        <v>17</v>
      </c>
      <c r="Q6" t="s">
        <v>39</v>
      </c>
      <c r="R6" s="1">
        <v>19.135802470000002</v>
      </c>
    </row>
    <row r="7" spans="1:18" x14ac:dyDescent="0.25">
      <c r="A7" t="s">
        <v>3</v>
      </c>
      <c r="B7" t="s">
        <v>4</v>
      </c>
      <c r="C7">
        <v>172</v>
      </c>
      <c r="D7">
        <v>65</v>
      </c>
      <c r="E7" t="s">
        <v>5</v>
      </c>
      <c r="F7" t="s">
        <v>11</v>
      </c>
      <c r="G7" t="s">
        <v>20</v>
      </c>
      <c r="H7" t="s">
        <v>40</v>
      </c>
      <c r="I7" t="s">
        <v>14</v>
      </c>
      <c r="J7" t="s">
        <v>23</v>
      </c>
      <c r="K7" t="s">
        <v>41</v>
      </c>
      <c r="L7" t="s">
        <v>24</v>
      </c>
      <c r="M7" t="s">
        <v>14</v>
      </c>
      <c r="N7" t="s">
        <v>15</v>
      </c>
      <c r="O7" t="s">
        <v>16</v>
      </c>
      <c r="P7" t="s">
        <v>17</v>
      </c>
      <c r="Q7" t="s">
        <v>42</v>
      </c>
      <c r="R7" s="1">
        <v>21.97133586</v>
      </c>
    </row>
    <row r="8" spans="1:18" x14ac:dyDescent="0.25">
      <c r="A8" t="s">
        <v>3</v>
      </c>
      <c r="B8" t="s">
        <v>4</v>
      </c>
      <c r="C8">
        <v>156</v>
      </c>
      <c r="D8">
        <v>40</v>
      </c>
      <c r="E8" t="s">
        <v>5</v>
      </c>
      <c r="F8" t="s">
        <v>11</v>
      </c>
      <c r="G8" t="s">
        <v>20</v>
      </c>
      <c r="H8" t="s">
        <v>9</v>
      </c>
      <c r="I8" t="s">
        <v>125</v>
      </c>
      <c r="J8" t="s">
        <v>43</v>
      </c>
      <c r="K8" t="s">
        <v>14</v>
      </c>
      <c r="L8" t="s">
        <v>44</v>
      </c>
      <c r="M8" t="s">
        <v>45</v>
      </c>
      <c r="N8" t="s">
        <v>46</v>
      </c>
      <c r="O8" t="s">
        <v>16</v>
      </c>
      <c r="P8" t="s">
        <v>17</v>
      </c>
      <c r="Q8" t="s">
        <v>26</v>
      </c>
      <c r="R8" s="1">
        <v>16.436554900000001</v>
      </c>
    </row>
    <row r="9" spans="1:18" x14ac:dyDescent="0.25">
      <c r="A9" t="s">
        <v>3</v>
      </c>
      <c r="B9" t="s">
        <v>36</v>
      </c>
      <c r="C9">
        <v>156</v>
      </c>
      <c r="D9">
        <v>40</v>
      </c>
      <c r="E9" t="s">
        <v>5</v>
      </c>
      <c r="F9" t="s">
        <v>7</v>
      </c>
      <c r="G9" t="s">
        <v>20</v>
      </c>
      <c r="H9" t="s">
        <v>9</v>
      </c>
      <c r="I9" t="s">
        <v>125</v>
      </c>
      <c r="J9" t="s">
        <v>43</v>
      </c>
      <c r="K9" t="s">
        <v>14</v>
      </c>
      <c r="L9" t="s">
        <v>44</v>
      </c>
      <c r="M9" t="s">
        <v>47</v>
      </c>
      <c r="N9" t="s">
        <v>15</v>
      </c>
      <c r="O9" t="s">
        <v>16</v>
      </c>
      <c r="P9" t="s">
        <v>48</v>
      </c>
      <c r="Q9" t="s">
        <v>26</v>
      </c>
      <c r="R9" s="1">
        <v>16.436554900000001</v>
      </c>
    </row>
    <row r="10" spans="1:18" x14ac:dyDescent="0.25">
      <c r="A10" t="s">
        <v>3</v>
      </c>
      <c r="B10" t="s">
        <v>36</v>
      </c>
      <c r="C10">
        <v>165</v>
      </c>
      <c r="D10">
        <v>70</v>
      </c>
      <c r="E10" t="s">
        <v>5</v>
      </c>
      <c r="F10" t="s">
        <v>6</v>
      </c>
      <c r="G10" t="s">
        <v>20</v>
      </c>
      <c r="H10" t="s">
        <v>9</v>
      </c>
      <c r="I10" t="s">
        <v>125</v>
      </c>
      <c r="J10" t="s">
        <v>43</v>
      </c>
      <c r="K10" t="s">
        <v>14</v>
      </c>
      <c r="L10" t="s">
        <v>44</v>
      </c>
      <c r="M10" t="s">
        <v>45</v>
      </c>
      <c r="N10" t="s">
        <v>15</v>
      </c>
      <c r="O10" t="s">
        <v>16</v>
      </c>
      <c r="P10" t="s">
        <v>49</v>
      </c>
      <c r="Q10" t="s">
        <v>26</v>
      </c>
      <c r="R10" s="1">
        <v>25.71166208</v>
      </c>
    </row>
    <row r="11" spans="1:18" x14ac:dyDescent="0.25">
      <c r="A11" t="s">
        <v>3</v>
      </c>
      <c r="B11" t="s">
        <v>36</v>
      </c>
      <c r="C11">
        <v>165</v>
      </c>
      <c r="D11">
        <v>68</v>
      </c>
      <c r="E11" t="s">
        <v>5</v>
      </c>
      <c r="F11" t="s">
        <v>6</v>
      </c>
      <c r="G11" t="s">
        <v>20</v>
      </c>
      <c r="H11" t="s">
        <v>9</v>
      </c>
      <c r="I11" t="s">
        <v>125</v>
      </c>
      <c r="J11" t="s">
        <v>23</v>
      </c>
      <c r="K11" t="s">
        <v>50</v>
      </c>
      <c r="L11" t="s">
        <v>32</v>
      </c>
      <c r="M11" t="s">
        <v>51</v>
      </c>
      <c r="N11" t="s">
        <v>15</v>
      </c>
      <c r="O11" t="s">
        <v>16</v>
      </c>
      <c r="P11" t="s">
        <v>25</v>
      </c>
      <c r="Q11" t="s">
        <v>26</v>
      </c>
      <c r="R11" s="1">
        <v>24.977043160000001</v>
      </c>
    </row>
    <row r="12" spans="1:18" x14ac:dyDescent="0.25">
      <c r="A12" t="s">
        <v>3</v>
      </c>
      <c r="B12" t="s">
        <v>36</v>
      </c>
      <c r="C12">
        <v>167</v>
      </c>
      <c r="D12">
        <v>57</v>
      </c>
      <c r="E12" t="s">
        <v>5</v>
      </c>
      <c r="F12" t="s">
        <v>11</v>
      </c>
      <c r="G12" t="s">
        <v>20</v>
      </c>
      <c r="H12" t="s">
        <v>44</v>
      </c>
      <c r="I12" t="s">
        <v>22</v>
      </c>
      <c r="J12" t="s">
        <v>23</v>
      </c>
      <c r="K12" t="s">
        <v>52</v>
      </c>
      <c r="L12" t="s">
        <v>19</v>
      </c>
      <c r="M12" t="s">
        <v>53</v>
      </c>
      <c r="N12" t="s">
        <v>46</v>
      </c>
      <c r="O12" t="s">
        <v>16</v>
      </c>
      <c r="P12" t="s">
        <v>25</v>
      </c>
      <c r="Q12" t="s">
        <v>26</v>
      </c>
      <c r="R12" s="1">
        <v>20.43816558</v>
      </c>
    </row>
    <row r="13" spans="1:18" x14ac:dyDescent="0.25">
      <c r="A13" t="s">
        <v>3</v>
      </c>
      <c r="B13" t="s">
        <v>4</v>
      </c>
      <c r="C13">
        <v>170</v>
      </c>
      <c r="D13">
        <v>55</v>
      </c>
      <c r="E13" t="s">
        <v>5</v>
      </c>
      <c r="F13" t="s">
        <v>11</v>
      </c>
      <c r="G13" t="s">
        <v>20</v>
      </c>
      <c r="H13" t="s">
        <v>30</v>
      </c>
      <c r="I13" t="s">
        <v>22</v>
      </c>
      <c r="J13" t="s">
        <v>23</v>
      </c>
      <c r="K13" t="s">
        <v>52</v>
      </c>
      <c r="L13" t="s">
        <v>19</v>
      </c>
      <c r="M13" t="s">
        <v>14</v>
      </c>
      <c r="N13" t="s">
        <v>46</v>
      </c>
      <c r="O13" t="s">
        <v>16</v>
      </c>
      <c r="P13" t="s">
        <v>25</v>
      </c>
      <c r="Q13" t="s">
        <v>26</v>
      </c>
      <c r="R13" s="1">
        <v>19.031141869999999</v>
      </c>
    </row>
    <row r="14" spans="1:18" x14ac:dyDescent="0.25">
      <c r="A14" t="s">
        <v>3</v>
      </c>
      <c r="B14" t="s">
        <v>4</v>
      </c>
      <c r="C14">
        <v>175</v>
      </c>
      <c r="D14">
        <v>67</v>
      </c>
      <c r="E14" t="s">
        <v>5</v>
      </c>
      <c r="F14" t="s">
        <v>11</v>
      </c>
      <c r="G14" t="s">
        <v>20</v>
      </c>
      <c r="H14" t="s">
        <v>30</v>
      </c>
      <c r="I14" t="s">
        <v>22</v>
      </c>
      <c r="J14" t="s">
        <v>23</v>
      </c>
      <c r="K14" t="s">
        <v>52</v>
      </c>
      <c r="L14" t="s">
        <v>19</v>
      </c>
      <c r="M14" t="s">
        <v>14</v>
      </c>
      <c r="N14" t="s">
        <v>15</v>
      </c>
      <c r="O14" t="s">
        <v>16</v>
      </c>
      <c r="P14" t="s">
        <v>25</v>
      </c>
      <c r="Q14" t="s">
        <v>26</v>
      </c>
      <c r="R14" s="1">
        <v>21.877551019999999</v>
      </c>
    </row>
    <row r="15" spans="1:18" x14ac:dyDescent="0.25">
      <c r="A15" t="s">
        <v>3</v>
      </c>
      <c r="B15" t="s">
        <v>4</v>
      </c>
      <c r="C15">
        <v>176</v>
      </c>
      <c r="D15">
        <v>88</v>
      </c>
      <c r="E15" t="s">
        <v>54</v>
      </c>
      <c r="F15" t="s">
        <v>7</v>
      </c>
      <c r="G15" t="s">
        <v>19</v>
      </c>
      <c r="H15" t="s">
        <v>30</v>
      </c>
      <c r="I15" t="s">
        <v>132</v>
      </c>
      <c r="J15" t="s">
        <v>23</v>
      </c>
      <c r="K15" t="s">
        <v>52</v>
      </c>
      <c r="L15" t="s">
        <v>24</v>
      </c>
      <c r="M15" t="s">
        <v>14</v>
      </c>
      <c r="N15" t="s">
        <v>15</v>
      </c>
      <c r="O15" t="s">
        <v>16</v>
      </c>
      <c r="P15" t="s">
        <v>17</v>
      </c>
      <c r="Q15" t="s">
        <v>42</v>
      </c>
      <c r="R15" s="1">
        <v>28.40909091</v>
      </c>
    </row>
    <row r="16" spans="1:18" x14ac:dyDescent="0.25">
      <c r="A16" t="s">
        <v>3</v>
      </c>
      <c r="B16" t="s">
        <v>4</v>
      </c>
      <c r="C16">
        <v>167</v>
      </c>
      <c r="D16">
        <v>70</v>
      </c>
      <c r="E16" t="s">
        <v>54</v>
      </c>
      <c r="F16" t="s">
        <v>11</v>
      </c>
      <c r="G16" t="s">
        <v>8</v>
      </c>
      <c r="H16" t="s">
        <v>30</v>
      </c>
      <c r="I16" t="s">
        <v>22</v>
      </c>
      <c r="J16" t="s">
        <v>23</v>
      </c>
      <c r="K16" t="s">
        <v>28</v>
      </c>
      <c r="L16" t="s">
        <v>24</v>
      </c>
      <c r="M16" t="s">
        <v>14</v>
      </c>
      <c r="N16" t="s">
        <v>15</v>
      </c>
      <c r="O16" t="s">
        <v>55</v>
      </c>
      <c r="P16" t="s">
        <v>25</v>
      </c>
      <c r="Q16" t="s">
        <v>26</v>
      </c>
      <c r="R16" s="1">
        <v>25.0995016</v>
      </c>
    </row>
    <row r="17" spans="1:18" x14ac:dyDescent="0.25">
      <c r="A17" t="s">
        <v>3</v>
      </c>
      <c r="B17" t="s">
        <v>4</v>
      </c>
      <c r="C17">
        <v>186</v>
      </c>
      <c r="D17">
        <v>84</v>
      </c>
      <c r="E17" t="s">
        <v>54</v>
      </c>
      <c r="F17" t="s">
        <v>7</v>
      </c>
      <c r="G17" t="s">
        <v>19</v>
      </c>
      <c r="H17" t="s">
        <v>30</v>
      </c>
      <c r="I17" t="s">
        <v>56</v>
      </c>
      <c r="J17" t="s">
        <v>23</v>
      </c>
      <c r="K17" t="s">
        <v>57</v>
      </c>
      <c r="L17" t="s">
        <v>19</v>
      </c>
      <c r="M17" t="s">
        <v>14</v>
      </c>
      <c r="N17" t="s">
        <v>15</v>
      </c>
      <c r="O17" t="s">
        <v>16</v>
      </c>
      <c r="P17" t="s">
        <v>17</v>
      </c>
      <c r="Q17" t="s">
        <v>44</v>
      </c>
      <c r="R17" s="1">
        <v>24.280263609999999</v>
      </c>
    </row>
    <row r="18" spans="1:18" x14ac:dyDescent="0.25">
      <c r="A18" t="s">
        <v>3</v>
      </c>
      <c r="B18" t="s">
        <v>4</v>
      </c>
      <c r="C18">
        <v>165</v>
      </c>
      <c r="D18">
        <v>86</v>
      </c>
      <c r="E18" t="s">
        <v>54</v>
      </c>
      <c r="F18" t="s">
        <v>7</v>
      </c>
      <c r="G18" t="s">
        <v>8</v>
      </c>
      <c r="H18" t="s">
        <v>9</v>
      </c>
      <c r="I18" t="s">
        <v>133</v>
      </c>
      <c r="J18" t="s">
        <v>23</v>
      </c>
      <c r="K18" t="s">
        <v>28</v>
      </c>
      <c r="L18" t="s">
        <v>32</v>
      </c>
      <c r="M18" t="s">
        <v>53</v>
      </c>
      <c r="N18" t="s">
        <v>15</v>
      </c>
      <c r="O18" t="s">
        <v>55</v>
      </c>
      <c r="P18" t="s">
        <v>17</v>
      </c>
      <c r="Q18" t="s">
        <v>44</v>
      </c>
      <c r="R18" s="1">
        <v>31.588613410000001</v>
      </c>
    </row>
    <row r="19" spans="1:18" x14ac:dyDescent="0.25">
      <c r="A19" t="s">
        <v>3</v>
      </c>
      <c r="B19" t="s">
        <v>4</v>
      </c>
      <c r="C19">
        <v>176</v>
      </c>
      <c r="D19">
        <v>88</v>
      </c>
      <c r="E19" t="s">
        <v>54</v>
      </c>
      <c r="F19" t="s">
        <v>7</v>
      </c>
      <c r="G19" t="s">
        <v>19</v>
      </c>
      <c r="H19" t="s">
        <v>30</v>
      </c>
      <c r="I19" t="s">
        <v>134</v>
      </c>
      <c r="J19" t="s">
        <v>23</v>
      </c>
      <c r="K19" t="s">
        <v>28</v>
      </c>
      <c r="L19" t="s">
        <v>19</v>
      </c>
      <c r="M19" t="s">
        <v>14</v>
      </c>
      <c r="N19" t="s">
        <v>15</v>
      </c>
      <c r="O19" t="s">
        <v>16</v>
      </c>
      <c r="P19" t="s">
        <v>17</v>
      </c>
      <c r="Q19" t="s">
        <v>26</v>
      </c>
      <c r="R19" s="1">
        <v>28.40909091</v>
      </c>
    </row>
    <row r="20" spans="1:18" x14ac:dyDescent="0.25">
      <c r="A20" t="s">
        <v>3</v>
      </c>
      <c r="B20" t="s">
        <v>4</v>
      </c>
      <c r="C20">
        <v>165</v>
      </c>
      <c r="D20">
        <v>65</v>
      </c>
      <c r="E20" t="s">
        <v>54</v>
      </c>
      <c r="F20" t="s">
        <v>7</v>
      </c>
      <c r="G20" t="s">
        <v>19</v>
      </c>
      <c r="H20" t="s">
        <v>21</v>
      </c>
      <c r="I20" t="s">
        <v>136</v>
      </c>
      <c r="J20" t="s">
        <v>23</v>
      </c>
      <c r="K20" t="s">
        <v>52</v>
      </c>
      <c r="L20" t="s">
        <v>19</v>
      </c>
      <c r="M20" t="s">
        <v>33</v>
      </c>
      <c r="N20" t="s">
        <v>38</v>
      </c>
      <c r="O20" t="s">
        <v>58</v>
      </c>
      <c r="P20" t="s">
        <v>35</v>
      </c>
      <c r="Q20" t="s">
        <v>26</v>
      </c>
      <c r="R20" s="1">
        <v>23.875114780000001</v>
      </c>
    </row>
    <row r="21" spans="1:18" x14ac:dyDescent="0.25">
      <c r="A21" t="s">
        <v>3</v>
      </c>
      <c r="B21" t="s">
        <v>4</v>
      </c>
      <c r="C21">
        <v>167.5</v>
      </c>
      <c r="D21">
        <v>63</v>
      </c>
      <c r="E21" t="s">
        <v>54</v>
      </c>
      <c r="F21" t="s">
        <v>11</v>
      </c>
      <c r="G21" t="s">
        <v>19</v>
      </c>
      <c r="H21" t="s">
        <v>30</v>
      </c>
      <c r="I21" t="s">
        <v>137</v>
      </c>
      <c r="J21" t="s">
        <v>23</v>
      </c>
      <c r="K21" t="s">
        <v>59</v>
      </c>
      <c r="L21" t="s">
        <v>24</v>
      </c>
      <c r="M21" t="s">
        <v>14</v>
      </c>
      <c r="N21" t="s">
        <v>15</v>
      </c>
      <c r="O21" t="s">
        <v>34</v>
      </c>
      <c r="P21" t="s">
        <v>17</v>
      </c>
      <c r="Q21" t="s">
        <v>42</v>
      </c>
      <c r="R21" s="1">
        <v>22.454889730000001</v>
      </c>
    </row>
    <row r="22" spans="1:18" x14ac:dyDescent="0.25">
      <c r="A22" t="s">
        <v>3</v>
      </c>
      <c r="B22" t="s">
        <v>4</v>
      </c>
      <c r="C22">
        <v>180</v>
      </c>
      <c r="D22">
        <v>90</v>
      </c>
      <c r="E22" t="s">
        <v>54</v>
      </c>
      <c r="F22" t="s">
        <v>7</v>
      </c>
      <c r="G22" t="s">
        <v>20</v>
      </c>
      <c r="H22" t="s">
        <v>30</v>
      </c>
      <c r="I22" t="s">
        <v>135</v>
      </c>
      <c r="J22" t="s">
        <v>23</v>
      </c>
      <c r="K22" t="s">
        <v>12</v>
      </c>
      <c r="L22" t="s">
        <v>32</v>
      </c>
      <c r="M22" t="s">
        <v>14</v>
      </c>
      <c r="N22" t="s">
        <v>15</v>
      </c>
      <c r="O22" t="s">
        <v>55</v>
      </c>
      <c r="P22" t="s">
        <v>17</v>
      </c>
      <c r="Q22" t="s">
        <v>26</v>
      </c>
      <c r="R22" s="1">
        <v>27.777777780000001</v>
      </c>
    </row>
    <row r="23" spans="1:18" x14ac:dyDescent="0.25">
      <c r="A23" t="s">
        <v>3</v>
      </c>
      <c r="B23" t="s">
        <v>36</v>
      </c>
      <c r="C23">
        <v>162</v>
      </c>
      <c r="D23">
        <v>43</v>
      </c>
      <c r="E23" t="s">
        <v>54</v>
      </c>
      <c r="F23" t="s">
        <v>7</v>
      </c>
      <c r="G23" t="s">
        <v>8</v>
      </c>
      <c r="H23" t="s">
        <v>30</v>
      </c>
      <c r="I23" t="s">
        <v>10</v>
      </c>
      <c r="J23" t="s">
        <v>43</v>
      </c>
      <c r="K23" t="s">
        <v>12</v>
      </c>
      <c r="L23" t="s">
        <v>13</v>
      </c>
      <c r="M23" t="s">
        <v>60</v>
      </c>
      <c r="N23" t="s">
        <v>38</v>
      </c>
      <c r="O23" t="s">
        <v>34</v>
      </c>
      <c r="P23" t="s">
        <v>17</v>
      </c>
      <c r="Q23" t="s">
        <v>44</v>
      </c>
      <c r="R23" s="1">
        <v>16.384697450000001</v>
      </c>
    </row>
    <row r="24" spans="1:18" x14ac:dyDescent="0.25">
      <c r="A24" t="s">
        <v>3</v>
      </c>
      <c r="B24" t="s">
        <v>4</v>
      </c>
      <c r="C24">
        <v>180</v>
      </c>
      <c r="D24">
        <v>82</v>
      </c>
      <c r="E24" t="s">
        <v>54</v>
      </c>
      <c r="F24" t="s">
        <v>19</v>
      </c>
      <c r="G24" t="s">
        <v>11</v>
      </c>
      <c r="H24" t="s">
        <v>40</v>
      </c>
      <c r="I24" t="s">
        <v>14</v>
      </c>
      <c r="J24" t="s">
        <v>43</v>
      </c>
      <c r="K24" t="s">
        <v>14</v>
      </c>
      <c r="L24" t="s">
        <v>44</v>
      </c>
      <c r="M24" t="s">
        <v>14</v>
      </c>
      <c r="N24" t="s">
        <v>46</v>
      </c>
      <c r="O24" t="s">
        <v>16</v>
      </c>
      <c r="P24" t="s">
        <v>17</v>
      </c>
      <c r="Q24" t="s">
        <v>44</v>
      </c>
      <c r="R24" s="1">
        <v>25.308641980000001</v>
      </c>
    </row>
    <row r="25" spans="1:18" x14ac:dyDescent="0.25">
      <c r="A25" t="s">
        <v>3</v>
      </c>
      <c r="B25" t="s">
        <v>4</v>
      </c>
      <c r="C25">
        <v>170</v>
      </c>
      <c r="D25">
        <v>56</v>
      </c>
      <c r="E25" t="s">
        <v>54</v>
      </c>
      <c r="F25" t="s">
        <v>11</v>
      </c>
      <c r="G25" t="s">
        <v>20</v>
      </c>
      <c r="H25" t="s">
        <v>21</v>
      </c>
      <c r="I25" t="s">
        <v>22</v>
      </c>
      <c r="J25" t="s">
        <v>43</v>
      </c>
      <c r="K25" t="s">
        <v>14</v>
      </c>
      <c r="L25" t="s">
        <v>44</v>
      </c>
      <c r="M25" t="s">
        <v>47</v>
      </c>
      <c r="N25" t="s">
        <v>15</v>
      </c>
      <c r="O25" t="s">
        <v>55</v>
      </c>
      <c r="P25" t="s">
        <v>48</v>
      </c>
      <c r="Q25" t="s">
        <v>26</v>
      </c>
      <c r="R25" s="1">
        <v>19.377162630000001</v>
      </c>
    </row>
    <row r="26" spans="1:18" x14ac:dyDescent="0.25">
      <c r="A26" t="s">
        <v>3</v>
      </c>
      <c r="B26" t="s">
        <v>4</v>
      </c>
      <c r="C26">
        <v>165</v>
      </c>
      <c r="D26">
        <v>54</v>
      </c>
      <c r="E26" t="s">
        <v>54</v>
      </c>
      <c r="F26" t="s">
        <v>19</v>
      </c>
      <c r="G26" t="s">
        <v>8</v>
      </c>
      <c r="H26" t="s">
        <v>21</v>
      </c>
      <c r="I26" t="s">
        <v>10</v>
      </c>
      <c r="J26" t="s">
        <v>23</v>
      </c>
      <c r="K26" t="s">
        <v>61</v>
      </c>
      <c r="L26" t="s">
        <v>32</v>
      </c>
      <c r="M26" t="s">
        <v>47</v>
      </c>
      <c r="N26" t="s">
        <v>38</v>
      </c>
      <c r="O26" t="s">
        <v>34</v>
      </c>
      <c r="P26" t="s">
        <v>17</v>
      </c>
      <c r="Q26" t="s">
        <v>42</v>
      </c>
      <c r="R26" s="1">
        <v>19.834710739999998</v>
      </c>
    </row>
    <row r="27" spans="1:18" x14ac:dyDescent="0.25">
      <c r="A27" t="s">
        <v>3</v>
      </c>
      <c r="B27" t="s">
        <v>4</v>
      </c>
      <c r="C27">
        <v>184</v>
      </c>
      <c r="D27">
        <v>61</v>
      </c>
      <c r="E27" t="s">
        <v>54</v>
      </c>
      <c r="F27" t="s">
        <v>6</v>
      </c>
      <c r="G27" t="s">
        <v>20</v>
      </c>
      <c r="H27" t="s">
        <v>21</v>
      </c>
      <c r="I27" t="s">
        <v>10</v>
      </c>
      <c r="J27" t="s">
        <v>23</v>
      </c>
      <c r="K27" t="s">
        <v>62</v>
      </c>
      <c r="L27" t="s">
        <v>13</v>
      </c>
      <c r="M27" t="s">
        <v>63</v>
      </c>
      <c r="N27" t="s">
        <v>38</v>
      </c>
      <c r="O27" t="s">
        <v>16</v>
      </c>
      <c r="P27" t="s">
        <v>17</v>
      </c>
      <c r="Q27" t="s">
        <v>26</v>
      </c>
      <c r="R27" s="1">
        <v>18.017485820000001</v>
      </c>
    </row>
    <row r="28" spans="1:18" x14ac:dyDescent="0.25">
      <c r="A28" t="s">
        <v>3</v>
      </c>
      <c r="B28" t="s">
        <v>36</v>
      </c>
      <c r="C28">
        <v>168</v>
      </c>
      <c r="D28">
        <v>64</v>
      </c>
      <c r="E28" t="s">
        <v>54</v>
      </c>
      <c r="F28" t="s">
        <v>11</v>
      </c>
      <c r="G28" t="s">
        <v>20</v>
      </c>
      <c r="H28" t="s">
        <v>40</v>
      </c>
      <c r="I28" t="s">
        <v>14</v>
      </c>
      <c r="J28" t="s">
        <v>23</v>
      </c>
      <c r="K28" t="s">
        <v>28</v>
      </c>
      <c r="L28" t="s">
        <v>24</v>
      </c>
      <c r="M28" t="s">
        <v>14</v>
      </c>
      <c r="N28" t="s">
        <v>15</v>
      </c>
      <c r="O28" t="s">
        <v>55</v>
      </c>
      <c r="P28" t="s">
        <v>48</v>
      </c>
      <c r="Q28" t="s">
        <v>39</v>
      </c>
      <c r="R28" s="1">
        <v>22.675736959999998</v>
      </c>
    </row>
    <row r="29" spans="1:18" x14ac:dyDescent="0.25">
      <c r="A29" t="s">
        <v>3</v>
      </c>
      <c r="B29" t="s">
        <v>4</v>
      </c>
      <c r="C29">
        <v>164</v>
      </c>
      <c r="D29">
        <v>68</v>
      </c>
      <c r="E29" t="s">
        <v>54</v>
      </c>
      <c r="F29" t="s">
        <v>11</v>
      </c>
      <c r="G29" t="s">
        <v>20</v>
      </c>
      <c r="H29" t="s">
        <v>21</v>
      </c>
      <c r="I29" t="s">
        <v>22</v>
      </c>
      <c r="J29" t="s">
        <v>23</v>
      </c>
      <c r="K29" t="s">
        <v>52</v>
      </c>
      <c r="L29" t="s">
        <v>19</v>
      </c>
      <c r="M29" t="s">
        <v>14</v>
      </c>
      <c r="N29" t="s">
        <v>15</v>
      </c>
      <c r="O29" t="s">
        <v>16</v>
      </c>
      <c r="P29" t="s">
        <v>48</v>
      </c>
      <c r="Q29" t="s">
        <v>26</v>
      </c>
      <c r="R29" s="1">
        <v>25.282569899999999</v>
      </c>
    </row>
    <row r="30" spans="1:18" x14ac:dyDescent="0.25">
      <c r="A30" t="s">
        <v>3</v>
      </c>
      <c r="B30" t="s">
        <v>4</v>
      </c>
      <c r="C30">
        <v>171</v>
      </c>
      <c r="D30">
        <v>65</v>
      </c>
      <c r="E30" t="s">
        <v>54</v>
      </c>
      <c r="F30" t="s">
        <v>11</v>
      </c>
      <c r="G30" t="s">
        <v>20</v>
      </c>
      <c r="H30" t="s">
        <v>21</v>
      </c>
      <c r="I30" t="s">
        <v>137</v>
      </c>
      <c r="J30" t="s">
        <v>23</v>
      </c>
      <c r="K30" t="s">
        <v>52</v>
      </c>
      <c r="L30" t="s">
        <v>19</v>
      </c>
      <c r="M30" t="s">
        <v>14</v>
      </c>
      <c r="N30" t="s">
        <v>46</v>
      </c>
      <c r="O30" t="s">
        <v>16</v>
      </c>
      <c r="P30" t="s">
        <v>49</v>
      </c>
      <c r="Q30" t="s">
        <v>26</v>
      </c>
      <c r="R30" s="1">
        <v>22.038567489999998</v>
      </c>
    </row>
    <row r="31" spans="1:18" x14ac:dyDescent="0.25">
      <c r="A31" t="s">
        <v>3</v>
      </c>
      <c r="B31" t="s">
        <v>4</v>
      </c>
      <c r="C31">
        <v>175</v>
      </c>
      <c r="D31">
        <v>75</v>
      </c>
      <c r="E31" t="s">
        <v>54</v>
      </c>
      <c r="F31" t="s">
        <v>44</v>
      </c>
      <c r="G31" t="s">
        <v>20</v>
      </c>
      <c r="H31" t="s">
        <v>44</v>
      </c>
      <c r="I31" t="s">
        <v>14</v>
      </c>
      <c r="J31" t="s">
        <v>23</v>
      </c>
      <c r="K31" t="s">
        <v>52</v>
      </c>
      <c r="L31" t="s">
        <v>19</v>
      </c>
      <c r="M31" t="s">
        <v>14</v>
      </c>
      <c r="N31" t="s">
        <v>46</v>
      </c>
      <c r="O31" t="s">
        <v>16</v>
      </c>
      <c r="P31" t="s">
        <v>25</v>
      </c>
      <c r="Q31" t="s">
        <v>26</v>
      </c>
      <c r="R31" s="1">
        <v>20.761245670000001</v>
      </c>
    </row>
    <row r="32" spans="1:18" x14ac:dyDescent="0.25">
      <c r="A32" t="s">
        <v>3</v>
      </c>
      <c r="B32" t="s">
        <v>4</v>
      </c>
      <c r="C32">
        <v>176</v>
      </c>
      <c r="D32">
        <v>56</v>
      </c>
      <c r="E32" t="s">
        <v>54</v>
      </c>
      <c r="F32" t="s">
        <v>11</v>
      </c>
      <c r="G32" t="s">
        <v>20</v>
      </c>
      <c r="H32" t="s">
        <v>40</v>
      </c>
      <c r="I32" t="s">
        <v>22</v>
      </c>
      <c r="J32" t="s">
        <v>23</v>
      </c>
      <c r="K32" t="s">
        <v>52</v>
      </c>
      <c r="L32" t="s">
        <v>19</v>
      </c>
      <c r="M32" t="s">
        <v>37</v>
      </c>
      <c r="N32" t="s">
        <v>38</v>
      </c>
      <c r="O32" t="s">
        <v>16</v>
      </c>
      <c r="P32" t="s">
        <v>25</v>
      </c>
      <c r="Q32" t="s">
        <v>26</v>
      </c>
      <c r="R32" s="1">
        <v>20.569329660000001</v>
      </c>
    </row>
    <row r="33" spans="1:18" x14ac:dyDescent="0.25">
      <c r="A33" t="s">
        <v>3</v>
      </c>
      <c r="B33" t="s">
        <v>36</v>
      </c>
      <c r="C33">
        <v>165</v>
      </c>
      <c r="D33">
        <v>56</v>
      </c>
      <c r="E33" t="s">
        <v>54</v>
      </c>
      <c r="F33" t="s">
        <v>6</v>
      </c>
      <c r="G33" t="s">
        <v>20</v>
      </c>
      <c r="H33" t="s">
        <v>40</v>
      </c>
      <c r="I33" t="s">
        <v>22</v>
      </c>
      <c r="J33" t="s">
        <v>23</v>
      </c>
      <c r="K33" t="s">
        <v>62</v>
      </c>
      <c r="L33" t="s">
        <v>32</v>
      </c>
      <c r="M33" t="s">
        <v>45</v>
      </c>
      <c r="N33" t="s">
        <v>15</v>
      </c>
      <c r="O33" t="s">
        <v>16</v>
      </c>
      <c r="P33" t="s">
        <v>48</v>
      </c>
      <c r="Q33" t="s">
        <v>26</v>
      </c>
      <c r="R33" s="1">
        <v>20.569329660000001</v>
      </c>
    </row>
    <row r="34" spans="1:18" x14ac:dyDescent="0.25">
      <c r="A34" t="s">
        <v>3</v>
      </c>
      <c r="B34" t="s">
        <v>4</v>
      </c>
      <c r="C34">
        <v>168</v>
      </c>
      <c r="D34">
        <v>60</v>
      </c>
      <c r="E34" t="s">
        <v>54</v>
      </c>
      <c r="F34" t="s">
        <v>44</v>
      </c>
      <c r="G34" t="s">
        <v>20</v>
      </c>
      <c r="H34" t="s">
        <v>44</v>
      </c>
      <c r="I34" t="s">
        <v>22</v>
      </c>
      <c r="J34" t="s">
        <v>23</v>
      </c>
      <c r="K34" t="s">
        <v>52</v>
      </c>
      <c r="L34" t="s">
        <v>19</v>
      </c>
      <c r="M34" t="s">
        <v>14</v>
      </c>
      <c r="N34" t="s">
        <v>46</v>
      </c>
      <c r="O34" t="s">
        <v>16</v>
      </c>
      <c r="P34" t="s">
        <v>25</v>
      </c>
      <c r="Q34" t="s">
        <v>26</v>
      </c>
      <c r="R34" s="1">
        <v>24.933720489999999</v>
      </c>
    </row>
    <row r="35" spans="1:18" x14ac:dyDescent="0.25">
      <c r="A35" t="s">
        <v>3</v>
      </c>
      <c r="B35" t="s">
        <v>4</v>
      </c>
      <c r="C35">
        <v>178</v>
      </c>
      <c r="D35">
        <v>79</v>
      </c>
      <c r="E35" t="s">
        <v>54</v>
      </c>
      <c r="F35" t="s">
        <v>11</v>
      </c>
      <c r="G35" t="s">
        <v>20</v>
      </c>
      <c r="H35" t="s">
        <v>40</v>
      </c>
      <c r="I35" t="s">
        <v>22</v>
      </c>
      <c r="J35" t="s">
        <v>23</v>
      </c>
      <c r="K35" t="s">
        <v>52</v>
      </c>
      <c r="L35" t="s">
        <v>19</v>
      </c>
      <c r="M35" t="s">
        <v>47</v>
      </c>
      <c r="N35" t="s">
        <v>46</v>
      </c>
      <c r="O35" t="s">
        <v>16</v>
      </c>
      <c r="P35" t="s">
        <v>25</v>
      </c>
      <c r="Q35" t="s">
        <v>26</v>
      </c>
      <c r="R35" s="1">
        <v>29.74419988</v>
      </c>
    </row>
    <row r="36" spans="1:18" x14ac:dyDescent="0.25">
      <c r="A36" t="s">
        <v>3</v>
      </c>
      <c r="B36" t="s">
        <v>4</v>
      </c>
      <c r="C36">
        <v>165</v>
      </c>
      <c r="D36">
        <v>54</v>
      </c>
      <c r="E36" t="s">
        <v>54</v>
      </c>
      <c r="F36" t="s">
        <v>7</v>
      </c>
      <c r="G36" t="s">
        <v>20</v>
      </c>
      <c r="H36" t="s">
        <v>30</v>
      </c>
      <c r="I36" t="s">
        <v>22</v>
      </c>
      <c r="J36" t="s">
        <v>23</v>
      </c>
      <c r="K36" t="s">
        <v>61</v>
      </c>
      <c r="L36" t="s">
        <v>32</v>
      </c>
      <c r="M36" t="s">
        <v>64</v>
      </c>
      <c r="N36" t="s">
        <v>38</v>
      </c>
      <c r="O36" t="s">
        <v>34</v>
      </c>
      <c r="P36" t="s">
        <v>17</v>
      </c>
      <c r="Q36" t="s">
        <v>42</v>
      </c>
      <c r="R36" s="1">
        <v>19.045073339999998</v>
      </c>
    </row>
    <row r="37" spans="1:18" x14ac:dyDescent="0.25">
      <c r="A37" t="s">
        <v>3</v>
      </c>
      <c r="B37" t="s">
        <v>4</v>
      </c>
      <c r="C37">
        <v>173</v>
      </c>
      <c r="D37">
        <v>57</v>
      </c>
      <c r="E37" t="s">
        <v>54</v>
      </c>
      <c r="F37" t="s">
        <v>19</v>
      </c>
      <c r="G37" t="s">
        <v>19</v>
      </c>
      <c r="H37" t="s">
        <v>21</v>
      </c>
      <c r="I37" t="s">
        <v>10</v>
      </c>
      <c r="J37" t="s">
        <v>23</v>
      </c>
      <c r="K37" t="s">
        <v>62</v>
      </c>
      <c r="L37" t="s">
        <v>19</v>
      </c>
      <c r="M37" t="s">
        <v>51</v>
      </c>
      <c r="N37" t="s">
        <v>65</v>
      </c>
      <c r="O37" t="s">
        <v>34</v>
      </c>
      <c r="P37" t="s">
        <v>25</v>
      </c>
      <c r="Q37" t="s">
        <v>42</v>
      </c>
      <c r="R37" s="1">
        <v>22.038567489999998</v>
      </c>
    </row>
    <row r="38" spans="1:18" x14ac:dyDescent="0.25">
      <c r="A38" t="s">
        <v>3</v>
      </c>
      <c r="B38" t="s">
        <v>4</v>
      </c>
      <c r="C38">
        <v>174</v>
      </c>
      <c r="D38">
        <v>54</v>
      </c>
      <c r="E38" t="s">
        <v>66</v>
      </c>
      <c r="F38" t="s">
        <v>7</v>
      </c>
      <c r="G38" t="s">
        <v>8</v>
      </c>
      <c r="H38" t="s">
        <v>21</v>
      </c>
      <c r="I38" t="s">
        <v>126</v>
      </c>
      <c r="J38" t="s">
        <v>11</v>
      </c>
      <c r="K38" t="s">
        <v>12</v>
      </c>
      <c r="L38" t="s">
        <v>32</v>
      </c>
      <c r="M38" t="s">
        <v>64</v>
      </c>
      <c r="N38" t="s">
        <v>38</v>
      </c>
      <c r="O38" t="s">
        <v>34</v>
      </c>
      <c r="P38" t="s">
        <v>17</v>
      </c>
      <c r="Q38" t="s">
        <v>18</v>
      </c>
      <c r="R38" s="1">
        <v>19.377162630000001</v>
      </c>
    </row>
    <row r="39" spans="1:18" x14ac:dyDescent="0.25">
      <c r="A39" t="s">
        <v>3</v>
      </c>
      <c r="B39" t="s">
        <v>36</v>
      </c>
      <c r="C39">
        <v>170</v>
      </c>
      <c r="D39">
        <v>56</v>
      </c>
      <c r="E39" t="s">
        <v>66</v>
      </c>
      <c r="F39" t="s">
        <v>7</v>
      </c>
      <c r="G39" t="s">
        <v>8</v>
      </c>
      <c r="H39" t="s">
        <v>21</v>
      </c>
      <c r="I39" t="s">
        <v>127</v>
      </c>
      <c r="J39" t="s">
        <v>23</v>
      </c>
      <c r="K39" t="s">
        <v>61</v>
      </c>
      <c r="L39" t="s">
        <v>24</v>
      </c>
      <c r="M39" t="s">
        <v>53</v>
      </c>
      <c r="N39" t="s">
        <v>38</v>
      </c>
      <c r="O39" t="s">
        <v>55</v>
      </c>
      <c r="P39" t="s">
        <v>67</v>
      </c>
      <c r="Q39" t="s">
        <v>18</v>
      </c>
      <c r="R39" s="1">
        <v>17.50561501</v>
      </c>
    </row>
    <row r="40" spans="1:18" x14ac:dyDescent="0.25">
      <c r="A40" t="s">
        <v>3</v>
      </c>
      <c r="B40" t="s">
        <v>36</v>
      </c>
      <c r="C40">
        <v>170</v>
      </c>
      <c r="D40">
        <v>56</v>
      </c>
      <c r="E40" t="s">
        <v>66</v>
      </c>
      <c r="F40" t="s">
        <v>7</v>
      </c>
      <c r="G40" t="s">
        <v>8</v>
      </c>
      <c r="H40" t="s">
        <v>21</v>
      </c>
      <c r="I40" t="s">
        <v>126</v>
      </c>
      <c r="J40" t="s">
        <v>23</v>
      </c>
      <c r="K40" t="s">
        <v>61</v>
      </c>
      <c r="L40" t="s">
        <v>24</v>
      </c>
      <c r="M40" t="s">
        <v>53</v>
      </c>
      <c r="N40" t="s">
        <v>38</v>
      </c>
      <c r="O40" t="s">
        <v>55</v>
      </c>
      <c r="P40" t="s">
        <v>68</v>
      </c>
      <c r="Q40" t="s">
        <v>18</v>
      </c>
      <c r="R40" s="1">
        <v>22.640864619999999</v>
      </c>
    </row>
    <row r="41" spans="1:18" x14ac:dyDescent="0.25">
      <c r="A41" t="s">
        <v>3</v>
      </c>
      <c r="B41" t="s">
        <v>36</v>
      </c>
      <c r="C41">
        <v>176</v>
      </c>
      <c r="D41">
        <v>71</v>
      </c>
      <c r="E41" t="s">
        <v>66</v>
      </c>
      <c r="F41" t="s">
        <v>11</v>
      </c>
      <c r="G41" t="s">
        <v>11</v>
      </c>
      <c r="H41" t="s">
        <v>44</v>
      </c>
      <c r="I41" t="s">
        <v>69</v>
      </c>
      <c r="J41" t="s">
        <v>11</v>
      </c>
      <c r="K41" t="s">
        <v>70</v>
      </c>
      <c r="L41" t="s">
        <v>13</v>
      </c>
      <c r="M41" t="s">
        <v>14</v>
      </c>
      <c r="N41" t="s">
        <v>38</v>
      </c>
      <c r="O41" t="s">
        <v>16</v>
      </c>
      <c r="P41" t="s">
        <v>71</v>
      </c>
      <c r="Q41" t="s">
        <v>44</v>
      </c>
      <c r="R41" s="1">
        <v>28.731921490000001</v>
      </c>
    </row>
    <row r="42" spans="1:18" x14ac:dyDescent="0.25">
      <c r="A42" t="s">
        <v>3</v>
      </c>
      <c r="B42" t="s">
        <v>4</v>
      </c>
      <c r="C42">
        <v>161</v>
      </c>
      <c r="D42">
        <v>57</v>
      </c>
      <c r="E42" t="s">
        <v>54</v>
      </c>
      <c r="F42" t="s">
        <v>11</v>
      </c>
      <c r="G42" t="s">
        <v>20</v>
      </c>
      <c r="H42" t="s">
        <v>72</v>
      </c>
      <c r="I42" t="s">
        <v>14</v>
      </c>
      <c r="J42" t="s">
        <v>23</v>
      </c>
      <c r="K42" t="s">
        <v>73</v>
      </c>
      <c r="L42" t="s">
        <v>19</v>
      </c>
      <c r="M42" t="s">
        <v>14</v>
      </c>
      <c r="N42" t="s">
        <v>46</v>
      </c>
      <c r="O42" t="s">
        <v>55</v>
      </c>
      <c r="P42" t="s">
        <v>35</v>
      </c>
      <c r="Q42" t="s">
        <v>26</v>
      </c>
      <c r="R42" s="1">
        <v>34.4752504</v>
      </c>
    </row>
    <row r="43" spans="1:18" x14ac:dyDescent="0.25">
      <c r="A43" t="s">
        <v>3</v>
      </c>
      <c r="B43" t="s">
        <v>36</v>
      </c>
      <c r="C43">
        <v>166</v>
      </c>
      <c r="D43">
        <v>55</v>
      </c>
      <c r="E43" t="s">
        <v>5</v>
      </c>
      <c r="F43" t="s">
        <v>7</v>
      </c>
      <c r="G43" t="s">
        <v>8</v>
      </c>
      <c r="H43" t="s">
        <v>72</v>
      </c>
      <c r="I43" t="s">
        <v>22</v>
      </c>
      <c r="J43" t="s">
        <v>11</v>
      </c>
      <c r="K43" t="s">
        <v>74</v>
      </c>
      <c r="L43" t="s">
        <v>13</v>
      </c>
      <c r="M43" t="s">
        <v>45</v>
      </c>
      <c r="N43" t="s">
        <v>15</v>
      </c>
      <c r="O43" t="s">
        <v>55</v>
      </c>
      <c r="P43" t="s">
        <v>48</v>
      </c>
      <c r="Q43" t="s">
        <v>39</v>
      </c>
      <c r="R43" s="1">
        <v>14.36339386</v>
      </c>
    </row>
    <row r="44" spans="1:18" x14ac:dyDescent="0.25">
      <c r="A44" t="s">
        <v>3</v>
      </c>
      <c r="B44" t="s">
        <v>4</v>
      </c>
      <c r="C44">
        <v>161</v>
      </c>
      <c r="D44">
        <v>68</v>
      </c>
      <c r="E44" t="s">
        <v>5</v>
      </c>
      <c r="F44" t="s">
        <v>7</v>
      </c>
      <c r="G44" t="s">
        <v>8</v>
      </c>
      <c r="H44" t="s">
        <v>72</v>
      </c>
      <c r="I44" t="s">
        <v>75</v>
      </c>
      <c r="J44" t="s">
        <v>23</v>
      </c>
      <c r="K44" t="s">
        <v>76</v>
      </c>
      <c r="L44" t="s">
        <v>52</v>
      </c>
      <c r="M44" t="s">
        <v>77</v>
      </c>
      <c r="N44" t="s">
        <v>38</v>
      </c>
      <c r="O44" t="s">
        <v>16</v>
      </c>
      <c r="P44" t="s">
        <v>48</v>
      </c>
      <c r="Q44" t="s">
        <v>26</v>
      </c>
      <c r="R44" s="1">
        <v>21.926125819999999</v>
      </c>
    </row>
    <row r="45" spans="1:18" x14ac:dyDescent="0.25">
      <c r="A45" t="s">
        <v>3</v>
      </c>
      <c r="B45" t="s">
        <v>36</v>
      </c>
      <c r="C45">
        <v>167</v>
      </c>
      <c r="D45">
        <v>57</v>
      </c>
      <c r="E45" t="s">
        <v>5</v>
      </c>
      <c r="F45" t="s">
        <v>7</v>
      </c>
      <c r="G45" t="s">
        <v>8</v>
      </c>
      <c r="H45" t="s">
        <v>72</v>
      </c>
      <c r="I45" t="s">
        <v>22</v>
      </c>
      <c r="J45" t="s">
        <v>11</v>
      </c>
      <c r="K45" t="s">
        <v>74</v>
      </c>
      <c r="L45" t="s">
        <v>13</v>
      </c>
      <c r="M45" t="s">
        <v>45</v>
      </c>
      <c r="N45" t="s">
        <v>15</v>
      </c>
      <c r="O45" t="s">
        <v>55</v>
      </c>
      <c r="P45" t="s">
        <v>48</v>
      </c>
      <c r="Q45" t="s">
        <v>39</v>
      </c>
      <c r="R45" s="1">
        <v>21.49028551</v>
      </c>
    </row>
    <row r="46" spans="1:18" x14ac:dyDescent="0.25">
      <c r="A46" t="s">
        <v>3</v>
      </c>
      <c r="B46" t="s">
        <v>36</v>
      </c>
      <c r="C46">
        <v>175</v>
      </c>
      <c r="D46">
        <v>67</v>
      </c>
      <c r="E46" t="s">
        <v>66</v>
      </c>
      <c r="F46" t="s">
        <v>11</v>
      </c>
      <c r="G46" t="s">
        <v>11</v>
      </c>
      <c r="H46" t="s">
        <v>44</v>
      </c>
      <c r="I46" t="s">
        <v>69</v>
      </c>
      <c r="J46" t="s">
        <v>11</v>
      </c>
      <c r="K46" t="s">
        <v>70</v>
      </c>
      <c r="L46" t="s">
        <v>13</v>
      </c>
      <c r="M46" t="s">
        <v>14</v>
      </c>
      <c r="N46" t="s">
        <v>38</v>
      </c>
      <c r="O46" t="s">
        <v>16</v>
      </c>
      <c r="P46" t="s">
        <v>71</v>
      </c>
      <c r="Q46" t="s">
        <v>44</v>
      </c>
      <c r="R46" s="1">
        <v>28.305995060000001</v>
      </c>
    </row>
    <row r="47" spans="1:18" x14ac:dyDescent="0.25">
      <c r="A47" t="s">
        <v>3</v>
      </c>
      <c r="B47" t="s">
        <v>4</v>
      </c>
      <c r="C47">
        <v>166</v>
      </c>
      <c r="D47">
        <v>60</v>
      </c>
      <c r="E47" t="s">
        <v>54</v>
      </c>
      <c r="F47" t="s">
        <v>11</v>
      </c>
      <c r="G47" t="s">
        <v>20</v>
      </c>
      <c r="H47" t="s">
        <v>72</v>
      </c>
      <c r="I47" t="s">
        <v>14</v>
      </c>
      <c r="J47" t="s">
        <v>23</v>
      </c>
      <c r="K47" t="s">
        <v>73</v>
      </c>
      <c r="L47" t="s">
        <v>19</v>
      </c>
      <c r="M47" t="s">
        <v>14</v>
      </c>
      <c r="N47" t="s">
        <v>46</v>
      </c>
      <c r="O47" t="s">
        <v>55</v>
      </c>
      <c r="P47" t="s">
        <v>35</v>
      </c>
      <c r="Q47" t="s">
        <v>26</v>
      </c>
      <c r="R47" s="1">
        <v>33.386558280000003</v>
      </c>
    </row>
    <row r="48" spans="1:18" x14ac:dyDescent="0.25">
      <c r="A48" t="s">
        <v>3</v>
      </c>
      <c r="B48" t="s">
        <v>4</v>
      </c>
      <c r="C48">
        <v>156</v>
      </c>
      <c r="D48">
        <v>64</v>
      </c>
      <c r="E48" t="s">
        <v>5</v>
      </c>
      <c r="F48" t="s">
        <v>7</v>
      </c>
      <c r="G48" t="s">
        <v>20</v>
      </c>
      <c r="H48" t="s">
        <v>27</v>
      </c>
      <c r="I48" t="s">
        <v>10</v>
      </c>
      <c r="J48" t="s">
        <v>23</v>
      </c>
      <c r="K48" t="s">
        <v>73</v>
      </c>
      <c r="L48" t="s">
        <v>19</v>
      </c>
      <c r="M48" t="s">
        <v>14</v>
      </c>
      <c r="N48" t="s">
        <v>38</v>
      </c>
      <c r="O48" t="s">
        <v>16</v>
      </c>
      <c r="P48" t="s">
        <v>25</v>
      </c>
      <c r="Q48" t="s">
        <v>42</v>
      </c>
      <c r="R48" s="1">
        <v>19.95935549</v>
      </c>
    </row>
    <row r="49" spans="1:18" x14ac:dyDescent="0.25">
      <c r="A49" t="s">
        <v>3</v>
      </c>
      <c r="B49" t="s">
        <v>36</v>
      </c>
      <c r="C49">
        <v>166</v>
      </c>
      <c r="D49">
        <v>55</v>
      </c>
      <c r="E49" t="s">
        <v>5</v>
      </c>
      <c r="F49" t="s">
        <v>7</v>
      </c>
      <c r="G49" t="s">
        <v>8</v>
      </c>
      <c r="H49" t="s">
        <v>72</v>
      </c>
      <c r="I49" t="s">
        <v>22</v>
      </c>
      <c r="J49" t="s">
        <v>11</v>
      </c>
      <c r="K49" t="s">
        <v>74</v>
      </c>
      <c r="L49" t="s">
        <v>13</v>
      </c>
      <c r="M49" t="s">
        <v>45</v>
      </c>
      <c r="N49" t="s">
        <v>15</v>
      </c>
      <c r="O49" t="s">
        <v>55</v>
      </c>
      <c r="P49" t="s">
        <v>48</v>
      </c>
      <c r="Q49" t="s">
        <v>39</v>
      </c>
      <c r="R49" s="1">
        <v>15.059700960000001</v>
      </c>
    </row>
    <row r="50" spans="1:18" x14ac:dyDescent="0.25">
      <c r="A50" t="s">
        <v>3</v>
      </c>
      <c r="B50" t="s">
        <v>4</v>
      </c>
      <c r="C50">
        <v>163</v>
      </c>
      <c r="D50">
        <v>68</v>
      </c>
      <c r="E50" t="s">
        <v>5</v>
      </c>
      <c r="F50" t="s">
        <v>7</v>
      </c>
      <c r="G50" t="s">
        <v>8</v>
      </c>
      <c r="H50" t="s">
        <v>72</v>
      </c>
      <c r="I50" t="s">
        <v>75</v>
      </c>
      <c r="J50" t="s">
        <v>23</v>
      </c>
      <c r="K50" t="s">
        <v>76</v>
      </c>
      <c r="L50" t="s">
        <v>52</v>
      </c>
      <c r="M50" t="s">
        <v>77</v>
      </c>
      <c r="N50" t="s">
        <v>38</v>
      </c>
      <c r="O50" t="s">
        <v>16</v>
      </c>
      <c r="P50" t="s">
        <v>48</v>
      </c>
      <c r="Q50" t="s">
        <v>26</v>
      </c>
      <c r="R50" s="1">
        <v>23.495236869999999</v>
      </c>
    </row>
    <row r="51" spans="1:18" x14ac:dyDescent="0.25">
      <c r="A51" t="s">
        <v>83</v>
      </c>
      <c r="B51" t="s">
        <v>4</v>
      </c>
      <c r="C51">
        <v>175</v>
      </c>
      <c r="D51">
        <v>72</v>
      </c>
      <c r="E51" t="s">
        <v>5</v>
      </c>
      <c r="F51" t="s">
        <v>7</v>
      </c>
      <c r="G51" t="s">
        <v>8</v>
      </c>
      <c r="H51" t="s">
        <v>30</v>
      </c>
      <c r="I51" t="s">
        <v>10</v>
      </c>
      <c r="J51" t="s">
        <v>23</v>
      </c>
      <c r="K51" t="s">
        <v>50</v>
      </c>
      <c r="L51" t="s">
        <v>32</v>
      </c>
      <c r="M51" t="s">
        <v>51</v>
      </c>
      <c r="N51" t="s">
        <v>38</v>
      </c>
      <c r="O51" t="s">
        <v>34</v>
      </c>
      <c r="P51" t="s">
        <v>17</v>
      </c>
      <c r="Q51" t="s">
        <v>26</v>
      </c>
      <c r="R51" s="1">
        <v>23.510204080000001</v>
      </c>
    </row>
    <row r="52" spans="1:18" x14ac:dyDescent="0.25">
      <c r="A52" t="s">
        <v>83</v>
      </c>
      <c r="B52" t="s">
        <v>4</v>
      </c>
      <c r="C52">
        <v>175</v>
      </c>
      <c r="D52">
        <v>70</v>
      </c>
      <c r="E52" t="s">
        <v>5</v>
      </c>
      <c r="F52" t="s">
        <v>7</v>
      </c>
      <c r="G52" t="s">
        <v>20</v>
      </c>
      <c r="H52" t="s">
        <v>9</v>
      </c>
      <c r="I52" t="s">
        <v>125</v>
      </c>
      <c r="J52" t="s">
        <v>11</v>
      </c>
      <c r="K52" t="s">
        <v>62</v>
      </c>
      <c r="L52" t="s">
        <v>32</v>
      </c>
      <c r="M52" t="s">
        <v>53</v>
      </c>
      <c r="N52" t="s">
        <v>15</v>
      </c>
      <c r="O52" t="s">
        <v>55</v>
      </c>
      <c r="P52" t="s">
        <v>25</v>
      </c>
      <c r="Q52" t="s">
        <v>26</v>
      </c>
      <c r="R52" s="1">
        <v>22.85714286</v>
      </c>
    </row>
    <row r="53" spans="1:18" x14ac:dyDescent="0.25">
      <c r="A53" t="s">
        <v>83</v>
      </c>
      <c r="B53" t="s">
        <v>4</v>
      </c>
      <c r="C53">
        <v>176</v>
      </c>
      <c r="D53">
        <v>79</v>
      </c>
      <c r="E53" t="s">
        <v>5</v>
      </c>
      <c r="F53" t="s">
        <v>7</v>
      </c>
      <c r="G53" t="s">
        <v>20</v>
      </c>
      <c r="H53" t="s">
        <v>44</v>
      </c>
      <c r="I53" t="s">
        <v>22</v>
      </c>
      <c r="J53" t="s">
        <v>23</v>
      </c>
      <c r="K53" t="s">
        <v>50</v>
      </c>
      <c r="L53" t="s">
        <v>19</v>
      </c>
      <c r="M53" t="s">
        <v>53</v>
      </c>
      <c r="N53" t="s">
        <v>38</v>
      </c>
      <c r="O53" t="s">
        <v>16</v>
      </c>
      <c r="P53" t="s">
        <v>25</v>
      </c>
      <c r="Q53" t="s">
        <v>39</v>
      </c>
      <c r="R53" s="1">
        <v>25.503615700000001</v>
      </c>
    </row>
    <row r="54" spans="1:18" x14ac:dyDescent="0.25">
      <c r="A54" t="s">
        <v>83</v>
      </c>
      <c r="B54" t="s">
        <v>36</v>
      </c>
      <c r="C54">
        <v>168</v>
      </c>
      <c r="D54">
        <v>73</v>
      </c>
      <c r="E54" t="s">
        <v>5</v>
      </c>
      <c r="F54" t="s">
        <v>11</v>
      </c>
      <c r="G54" t="s">
        <v>20</v>
      </c>
      <c r="H54" t="s">
        <v>44</v>
      </c>
      <c r="I54" t="s">
        <v>22</v>
      </c>
      <c r="J54" t="s">
        <v>23</v>
      </c>
      <c r="K54" t="s">
        <v>12</v>
      </c>
      <c r="L54" t="s">
        <v>19</v>
      </c>
      <c r="M54" t="s">
        <v>53</v>
      </c>
      <c r="N54" t="s">
        <v>46</v>
      </c>
      <c r="O54" t="s">
        <v>16</v>
      </c>
      <c r="P54" t="s">
        <v>25</v>
      </c>
      <c r="Q54" t="s">
        <v>18</v>
      </c>
      <c r="R54" s="1">
        <v>25.864512470000001</v>
      </c>
    </row>
    <row r="55" spans="1:18" x14ac:dyDescent="0.25">
      <c r="A55" t="s">
        <v>83</v>
      </c>
      <c r="B55" t="s">
        <v>36</v>
      </c>
      <c r="C55">
        <v>170</v>
      </c>
      <c r="D55">
        <v>80</v>
      </c>
      <c r="E55" t="s">
        <v>5</v>
      </c>
      <c r="F55" t="s">
        <v>11</v>
      </c>
      <c r="G55" t="s">
        <v>19</v>
      </c>
      <c r="H55" t="s">
        <v>30</v>
      </c>
      <c r="I55" t="s">
        <v>22</v>
      </c>
      <c r="J55" t="s">
        <v>23</v>
      </c>
      <c r="K55" t="s">
        <v>52</v>
      </c>
      <c r="L55" t="s">
        <v>19</v>
      </c>
      <c r="M55" t="s">
        <v>14</v>
      </c>
      <c r="N55" t="s">
        <v>46</v>
      </c>
      <c r="O55" t="s">
        <v>16</v>
      </c>
      <c r="P55" t="s">
        <v>80</v>
      </c>
      <c r="Q55" t="s">
        <v>42</v>
      </c>
      <c r="R55" s="1">
        <v>27.681660900000001</v>
      </c>
    </row>
    <row r="56" spans="1:18" x14ac:dyDescent="0.25">
      <c r="A56" t="s">
        <v>83</v>
      </c>
      <c r="B56" t="s">
        <v>36</v>
      </c>
      <c r="C56">
        <v>167</v>
      </c>
      <c r="D56">
        <v>88</v>
      </c>
      <c r="E56" t="s">
        <v>5</v>
      </c>
      <c r="F56" t="s">
        <v>6</v>
      </c>
      <c r="G56" t="s">
        <v>20</v>
      </c>
      <c r="H56" t="s">
        <v>21</v>
      </c>
      <c r="I56" t="s">
        <v>22</v>
      </c>
      <c r="J56" t="s">
        <v>23</v>
      </c>
      <c r="K56" t="s">
        <v>62</v>
      </c>
      <c r="L56" t="s">
        <v>32</v>
      </c>
      <c r="M56" t="s">
        <v>37</v>
      </c>
      <c r="N56" t="s">
        <v>38</v>
      </c>
      <c r="O56" t="s">
        <v>16</v>
      </c>
      <c r="P56" t="s">
        <v>48</v>
      </c>
      <c r="Q56" t="s">
        <v>26</v>
      </c>
      <c r="R56" s="1">
        <v>31.553659150000001</v>
      </c>
    </row>
    <row r="57" spans="1:18" x14ac:dyDescent="0.25">
      <c r="A57" t="s">
        <v>83</v>
      </c>
      <c r="B57" t="s">
        <v>4</v>
      </c>
      <c r="C57">
        <v>165</v>
      </c>
      <c r="D57">
        <v>69</v>
      </c>
      <c r="E57" t="s">
        <v>54</v>
      </c>
      <c r="F57" t="s">
        <v>19</v>
      </c>
      <c r="G57" t="s">
        <v>20</v>
      </c>
      <c r="H57" t="s">
        <v>30</v>
      </c>
      <c r="I57" t="s">
        <v>22</v>
      </c>
      <c r="J57" t="s">
        <v>23</v>
      </c>
      <c r="K57" t="s">
        <v>28</v>
      </c>
      <c r="L57" t="s">
        <v>24</v>
      </c>
      <c r="M57" t="s">
        <v>14</v>
      </c>
      <c r="N57" t="s">
        <v>15</v>
      </c>
      <c r="O57" t="s">
        <v>16</v>
      </c>
      <c r="P57" t="s">
        <v>35</v>
      </c>
      <c r="Q57" t="s">
        <v>26</v>
      </c>
      <c r="R57" s="1">
        <v>25.344352619999999</v>
      </c>
    </row>
    <row r="58" spans="1:18" x14ac:dyDescent="0.25">
      <c r="A58" t="s">
        <v>83</v>
      </c>
      <c r="B58" t="s">
        <v>36</v>
      </c>
      <c r="C58">
        <v>157</v>
      </c>
      <c r="D58">
        <v>45</v>
      </c>
      <c r="E58" t="s">
        <v>54</v>
      </c>
      <c r="F58" t="s">
        <v>11</v>
      </c>
      <c r="G58" t="s">
        <v>20</v>
      </c>
      <c r="H58" t="s">
        <v>21</v>
      </c>
      <c r="I58" t="s">
        <v>14</v>
      </c>
      <c r="J58" t="s">
        <v>23</v>
      </c>
      <c r="K58" t="s">
        <v>12</v>
      </c>
      <c r="L58" t="s">
        <v>24</v>
      </c>
      <c r="M58" t="s">
        <v>14</v>
      </c>
      <c r="N58" t="s">
        <v>15</v>
      </c>
      <c r="O58" t="s">
        <v>55</v>
      </c>
      <c r="P58" t="s">
        <v>71</v>
      </c>
      <c r="Q58" t="s">
        <v>26</v>
      </c>
      <c r="R58" s="1">
        <v>18.256318709999999</v>
      </c>
    </row>
    <row r="59" spans="1:18" x14ac:dyDescent="0.25">
      <c r="A59" t="s">
        <v>83</v>
      </c>
      <c r="B59" t="s">
        <v>36</v>
      </c>
      <c r="C59">
        <v>165</v>
      </c>
      <c r="D59">
        <v>48</v>
      </c>
      <c r="E59" t="s">
        <v>54</v>
      </c>
      <c r="F59" t="s">
        <v>11</v>
      </c>
      <c r="G59" t="s">
        <v>20</v>
      </c>
      <c r="H59" t="s">
        <v>21</v>
      </c>
      <c r="I59" t="s">
        <v>139</v>
      </c>
      <c r="J59" t="s">
        <v>23</v>
      </c>
      <c r="K59" t="s">
        <v>52</v>
      </c>
      <c r="L59" t="s">
        <v>24</v>
      </c>
      <c r="M59" t="s">
        <v>53</v>
      </c>
      <c r="N59" t="s">
        <v>38</v>
      </c>
      <c r="O59" t="s">
        <v>34</v>
      </c>
      <c r="P59" t="s">
        <v>49</v>
      </c>
      <c r="Q59" t="s">
        <v>42</v>
      </c>
      <c r="R59" s="1">
        <v>17.630853989999999</v>
      </c>
    </row>
    <row r="60" spans="1:18" x14ac:dyDescent="0.25">
      <c r="A60" t="s">
        <v>83</v>
      </c>
      <c r="B60" t="s">
        <v>36</v>
      </c>
      <c r="C60">
        <v>165</v>
      </c>
      <c r="D60">
        <v>56</v>
      </c>
      <c r="E60" t="s">
        <v>54</v>
      </c>
      <c r="F60" t="s">
        <v>7</v>
      </c>
      <c r="G60" t="s">
        <v>19</v>
      </c>
      <c r="H60" t="s">
        <v>9</v>
      </c>
      <c r="I60" t="s">
        <v>140</v>
      </c>
      <c r="J60" t="s">
        <v>43</v>
      </c>
      <c r="K60" t="s">
        <v>14</v>
      </c>
      <c r="L60" t="s">
        <v>44</v>
      </c>
      <c r="M60" t="s">
        <v>37</v>
      </c>
      <c r="N60" t="s">
        <v>15</v>
      </c>
      <c r="O60" t="s">
        <v>55</v>
      </c>
      <c r="P60" t="s">
        <v>80</v>
      </c>
      <c r="Q60" t="s">
        <v>26</v>
      </c>
      <c r="R60" s="1">
        <v>20.569329660000001</v>
      </c>
    </row>
    <row r="61" spans="1:18" x14ac:dyDescent="0.25">
      <c r="A61" t="s">
        <v>83</v>
      </c>
      <c r="B61" t="s">
        <v>4</v>
      </c>
      <c r="C61">
        <v>156</v>
      </c>
      <c r="D61">
        <v>63</v>
      </c>
      <c r="E61" t="s">
        <v>54</v>
      </c>
      <c r="F61" t="s">
        <v>7</v>
      </c>
      <c r="G61" t="s">
        <v>20</v>
      </c>
      <c r="H61" t="s">
        <v>21</v>
      </c>
      <c r="I61" t="s">
        <v>22</v>
      </c>
      <c r="J61" t="s">
        <v>23</v>
      </c>
      <c r="K61" t="s">
        <v>12</v>
      </c>
      <c r="L61" t="s">
        <v>19</v>
      </c>
      <c r="M61" t="s">
        <v>37</v>
      </c>
      <c r="N61" t="s">
        <v>65</v>
      </c>
      <c r="O61" t="s">
        <v>55</v>
      </c>
      <c r="P61" t="s">
        <v>48</v>
      </c>
      <c r="Q61" t="s">
        <v>42</v>
      </c>
      <c r="R61" s="1">
        <v>25.887573960000001</v>
      </c>
    </row>
    <row r="62" spans="1:18" x14ac:dyDescent="0.25">
      <c r="A62" t="s">
        <v>83</v>
      </c>
      <c r="B62" t="s">
        <v>36</v>
      </c>
      <c r="C62">
        <v>170</v>
      </c>
      <c r="D62">
        <v>60</v>
      </c>
      <c r="E62" t="s">
        <v>54</v>
      </c>
      <c r="F62" t="s">
        <v>11</v>
      </c>
      <c r="G62" t="s">
        <v>20</v>
      </c>
      <c r="H62" t="s">
        <v>21</v>
      </c>
      <c r="I62" t="s">
        <v>139</v>
      </c>
      <c r="J62" t="s">
        <v>11</v>
      </c>
      <c r="K62" t="s">
        <v>62</v>
      </c>
      <c r="L62" t="s">
        <v>32</v>
      </c>
      <c r="M62" t="s">
        <v>45</v>
      </c>
      <c r="N62" t="s">
        <v>15</v>
      </c>
      <c r="O62" t="s">
        <v>16</v>
      </c>
      <c r="P62" t="s">
        <v>25</v>
      </c>
      <c r="Q62" t="s">
        <v>26</v>
      </c>
      <c r="R62" s="1">
        <v>18.078512400000001</v>
      </c>
    </row>
    <row r="63" spans="1:18" x14ac:dyDescent="0.25">
      <c r="A63" t="s">
        <v>83</v>
      </c>
      <c r="B63" t="s">
        <v>4</v>
      </c>
      <c r="C63">
        <v>169</v>
      </c>
      <c r="D63">
        <v>57</v>
      </c>
      <c r="E63" t="s">
        <v>54</v>
      </c>
      <c r="F63" t="s">
        <v>11</v>
      </c>
      <c r="G63" t="s">
        <v>20</v>
      </c>
      <c r="H63" t="s">
        <v>44</v>
      </c>
      <c r="I63" t="s">
        <v>22</v>
      </c>
      <c r="J63" t="s">
        <v>23</v>
      </c>
      <c r="K63" t="s">
        <v>52</v>
      </c>
      <c r="L63" t="s">
        <v>19</v>
      </c>
      <c r="M63" t="s">
        <v>14</v>
      </c>
      <c r="N63" t="s">
        <v>46</v>
      </c>
      <c r="O63" t="s">
        <v>16</v>
      </c>
      <c r="P63" t="s">
        <v>48</v>
      </c>
      <c r="Q63" t="s">
        <v>26</v>
      </c>
      <c r="R63" s="1">
        <v>28.734672060000001</v>
      </c>
    </row>
    <row r="64" spans="1:18" x14ac:dyDescent="0.25">
      <c r="A64" t="s">
        <v>83</v>
      </c>
      <c r="B64" t="s">
        <v>36</v>
      </c>
      <c r="C64">
        <v>162</v>
      </c>
      <c r="D64">
        <v>53</v>
      </c>
      <c r="E64" t="s">
        <v>66</v>
      </c>
      <c r="F64" t="s">
        <v>11</v>
      </c>
      <c r="G64" t="s">
        <v>19</v>
      </c>
      <c r="H64" t="s">
        <v>30</v>
      </c>
      <c r="I64" t="s">
        <v>129</v>
      </c>
      <c r="J64" t="s">
        <v>23</v>
      </c>
      <c r="K64" t="s">
        <v>84</v>
      </c>
      <c r="L64" t="s">
        <v>32</v>
      </c>
      <c r="M64" t="s">
        <v>45</v>
      </c>
      <c r="N64" t="s">
        <v>15</v>
      </c>
      <c r="O64" t="s">
        <v>55</v>
      </c>
      <c r="P64" t="s">
        <v>85</v>
      </c>
      <c r="Q64" t="s">
        <v>18</v>
      </c>
      <c r="R64" s="1">
        <v>19.377162630000001</v>
      </c>
    </row>
    <row r="65" spans="1:18" x14ac:dyDescent="0.25">
      <c r="A65" t="s">
        <v>83</v>
      </c>
      <c r="B65" t="s">
        <v>4</v>
      </c>
      <c r="C65">
        <v>172</v>
      </c>
      <c r="D65">
        <v>66</v>
      </c>
      <c r="E65" t="s">
        <v>54</v>
      </c>
      <c r="F65" t="s">
        <v>6</v>
      </c>
      <c r="G65" t="s">
        <v>20</v>
      </c>
      <c r="H65" t="s">
        <v>9</v>
      </c>
      <c r="I65" t="s">
        <v>125</v>
      </c>
      <c r="J65" t="s">
        <v>11</v>
      </c>
      <c r="K65" t="s">
        <v>86</v>
      </c>
      <c r="L65" t="s">
        <v>13</v>
      </c>
      <c r="M65" t="s">
        <v>87</v>
      </c>
      <c r="N65" t="s">
        <v>65</v>
      </c>
      <c r="O65" t="s">
        <v>58</v>
      </c>
      <c r="P65" t="s">
        <v>14</v>
      </c>
      <c r="Q65" t="s">
        <v>39</v>
      </c>
      <c r="R65" s="1">
        <v>21.98989237</v>
      </c>
    </row>
    <row r="66" spans="1:18" x14ac:dyDescent="0.25">
      <c r="A66" t="s">
        <v>83</v>
      </c>
      <c r="B66" t="s">
        <v>4</v>
      </c>
      <c r="C66">
        <v>163</v>
      </c>
      <c r="D66">
        <v>93</v>
      </c>
      <c r="E66" t="s">
        <v>5</v>
      </c>
      <c r="F66" t="s">
        <v>6</v>
      </c>
      <c r="G66" t="s">
        <v>44</v>
      </c>
      <c r="H66" t="s">
        <v>9</v>
      </c>
      <c r="I66" t="s">
        <v>125</v>
      </c>
      <c r="J66" t="s">
        <v>43</v>
      </c>
      <c r="K66" t="s">
        <v>14</v>
      </c>
      <c r="L66" t="s">
        <v>44</v>
      </c>
      <c r="M66" t="s">
        <v>88</v>
      </c>
      <c r="N66" t="s">
        <v>38</v>
      </c>
      <c r="O66" t="s">
        <v>55</v>
      </c>
      <c r="P66" t="s">
        <v>48</v>
      </c>
      <c r="Q66" t="s">
        <v>26</v>
      </c>
      <c r="R66" s="1">
        <v>21.146319909999999</v>
      </c>
    </row>
    <row r="67" spans="1:18" x14ac:dyDescent="0.25">
      <c r="A67" t="s">
        <v>83</v>
      </c>
      <c r="B67" t="s">
        <v>4</v>
      </c>
      <c r="C67">
        <v>165</v>
      </c>
      <c r="D67">
        <v>72</v>
      </c>
      <c r="E67" t="s">
        <v>5</v>
      </c>
      <c r="F67" t="s">
        <v>19</v>
      </c>
      <c r="G67" t="s">
        <v>44</v>
      </c>
      <c r="H67" t="s">
        <v>9</v>
      </c>
      <c r="I67" t="s">
        <v>69</v>
      </c>
      <c r="J67" t="s">
        <v>43</v>
      </c>
      <c r="K67" t="s">
        <v>14</v>
      </c>
      <c r="L67" t="s">
        <v>44</v>
      </c>
      <c r="M67" t="s">
        <v>37</v>
      </c>
      <c r="N67" t="s">
        <v>65</v>
      </c>
      <c r="O67" t="s">
        <v>55</v>
      </c>
      <c r="P67" t="s">
        <v>14</v>
      </c>
      <c r="Q67" t="s">
        <v>26</v>
      </c>
      <c r="R67" s="1">
        <v>25.721032210000001</v>
      </c>
    </row>
    <row r="68" spans="1:18" x14ac:dyDescent="0.25">
      <c r="A68" t="s">
        <v>83</v>
      </c>
      <c r="B68" t="s">
        <v>4</v>
      </c>
      <c r="C68">
        <v>171</v>
      </c>
      <c r="D68">
        <v>95</v>
      </c>
      <c r="E68" t="s">
        <v>5</v>
      </c>
      <c r="F68" t="s">
        <v>6</v>
      </c>
      <c r="G68" t="s">
        <v>44</v>
      </c>
      <c r="H68" t="s">
        <v>9</v>
      </c>
      <c r="I68" t="s">
        <v>125</v>
      </c>
      <c r="J68" t="s">
        <v>43</v>
      </c>
      <c r="K68" t="s">
        <v>14</v>
      </c>
      <c r="L68" t="s">
        <v>44</v>
      </c>
      <c r="M68" t="s">
        <v>88</v>
      </c>
      <c r="N68" t="s">
        <v>38</v>
      </c>
      <c r="O68" t="s">
        <v>55</v>
      </c>
      <c r="P68" t="s">
        <v>48</v>
      </c>
      <c r="Q68" t="s">
        <v>26</v>
      </c>
      <c r="R68" s="1">
        <v>20.983987599999999</v>
      </c>
    </row>
    <row r="69" spans="1:18" x14ac:dyDescent="0.25">
      <c r="A69" t="s">
        <v>83</v>
      </c>
      <c r="B69" t="s">
        <v>4</v>
      </c>
      <c r="C69">
        <v>175</v>
      </c>
      <c r="D69">
        <v>69</v>
      </c>
      <c r="E69" t="s">
        <v>54</v>
      </c>
      <c r="F69" t="s">
        <v>6</v>
      </c>
      <c r="G69" t="s">
        <v>20</v>
      </c>
      <c r="H69" t="s">
        <v>9</v>
      </c>
      <c r="I69" t="s">
        <v>125</v>
      </c>
      <c r="J69" t="s">
        <v>11</v>
      </c>
      <c r="K69" t="s">
        <v>86</v>
      </c>
      <c r="L69" t="s">
        <v>13</v>
      </c>
      <c r="M69" t="s">
        <v>87</v>
      </c>
      <c r="N69" t="s">
        <v>65</v>
      </c>
      <c r="O69" t="s">
        <v>58</v>
      </c>
      <c r="P69" t="s">
        <v>14</v>
      </c>
      <c r="Q69" t="s">
        <v>39</v>
      </c>
      <c r="R69" s="1">
        <v>21.77384236</v>
      </c>
    </row>
    <row r="70" spans="1:18" x14ac:dyDescent="0.25">
      <c r="A70" t="s">
        <v>83</v>
      </c>
      <c r="B70" t="s">
        <v>36</v>
      </c>
      <c r="C70">
        <v>159</v>
      </c>
      <c r="D70">
        <v>59</v>
      </c>
      <c r="E70" t="s">
        <v>5</v>
      </c>
      <c r="F70" t="s">
        <v>7</v>
      </c>
      <c r="G70" t="s">
        <v>11</v>
      </c>
      <c r="H70" t="s">
        <v>72</v>
      </c>
      <c r="I70" t="s">
        <v>14</v>
      </c>
      <c r="J70" t="s">
        <v>43</v>
      </c>
      <c r="K70" t="s">
        <v>14</v>
      </c>
      <c r="L70" t="s">
        <v>44</v>
      </c>
      <c r="M70" t="s">
        <v>89</v>
      </c>
      <c r="N70" t="s">
        <v>38</v>
      </c>
      <c r="O70" t="s">
        <v>58</v>
      </c>
      <c r="P70" t="s">
        <v>14</v>
      </c>
      <c r="Q70" t="s">
        <v>26</v>
      </c>
      <c r="R70" s="1">
        <v>20.177148519999999</v>
      </c>
    </row>
    <row r="71" spans="1:18" x14ac:dyDescent="0.25">
      <c r="A71" t="s">
        <v>83</v>
      </c>
      <c r="B71" t="s">
        <v>36</v>
      </c>
      <c r="C71">
        <v>171</v>
      </c>
      <c r="D71">
        <v>59</v>
      </c>
      <c r="E71" t="s">
        <v>5</v>
      </c>
      <c r="F71" t="s">
        <v>7</v>
      </c>
      <c r="G71" t="s">
        <v>8</v>
      </c>
      <c r="H71" t="s">
        <v>72</v>
      </c>
      <c r="I71" t="s">
        <v>10</v>
      </c>
      <c r="J71" t="s">
        <v>11</v>
      </c>
      <c r="K71" t="s">
        <v>12</v>
      </c>
      <c r="L71" t="s">
        <v>13</v>
      </c>
      <c r="M71" t="s">
        <v>45</v>
      </c>
      <c r="N71" t="s">
        <v>15</v>
      </c>
      <c r="O71" t="s">
        <v>34</v>
      </c>
      <c r="P71" t="s">
        <v>80</v>
      </c>
      <c r="Q71" t="s">
        <v>44</v>
      </c>
      <c r="R71" s="1">
        <v>34.250442239999998</v>
      </c>
    </row>
    <row r="72" spans="1:18" x14ac:dyDescent="0.25">
      <c r="A72" t="s">
        <v>83</v>
      </c>
      <c r="B72" t="s">
        <v>4</v>
      </c>
      <c r="C72">
        <v>163</v>
      </c>
      <c r="D72">
        <v>91</v>
      </c>
      <c r="E72" t="s">
        <v>5</v>
      </c>
      <c r="F72" t="s">
        <v>6</v>
      </c>
      <c r="G72" t="s">
        <v>44</v>
      </c>
      <c r="H72" t="s">
        <v>9</v>
      </c>
      <c r="I72" t="s">
        <v>125</v>
      </c>
      <c r="J72" t="s">
        <v>43</v>
      </c>
      <c r="K72" t="s">
        <v>14</v>
      </c>
      <c r="L72" t="s">
        <v>44</v>
      </c>
      <c r="M72" t="s">
        <v>88</v>
      </c>
      <c r="N72" t="s">
        <v>38</v>
      </c>
      <c r="O72" t="s">
        <v>55</v>
      </c>
      <c r="P72" t="s">
        <v>48</v>
      </c>
      <c r="Q72" t="s">
        <v>26</v>
      </c>
      <c r="R72" s="1">
        <v>21.629648759999998</v>
      </c>
    </row>
    <row r="73" spans="1:18" x14ac:dyDescent="0.25">
      <c r="A73" t="s">
        <v>83</v>
      </c>
      <c r="B73" t="s">
        <v>36</v>
      </c>
      <c r="C73">
        <v>167</v>
      </c>
      <c r="D73">
        <v>42</v>
      </c>
      <c r="E73" t="s">
        <v>5</v>
      </c>
      <c r="F73" t="s">
        <v>11</v>
      </c>
      <c r="G73" t="s">
        <v>44</v>
      </c>
      <c r="H73" t="s">
        <v>27</v>
      </c>
      <c r="I73" t="s">
        <v>14</v>
      </c>
      <c r="J73" t="s">
        <v>11</v>
      </c>
      <c r="K73" t="s">
        <v>12</v>
      </c>
      <c r="L73" t="s">
        <v>13</v>
      </c>
      <c r="M73" t="s">
        <v>14</v>
      </c>
      <c r="N73" t="s">
        <v>15</v>
      </c>
      <c r="O73" t="s">
        <v>16</v>
      </c>
      <c r="P73" t="s">
        <v>29</v>
      </c>
      <c r="Q73" t="s">
        <v>42</v>
      </c>
      <c r="R73" s="1">
        <v>21.67211013</v>
      </c>
    </row>
    <row r="74" spans="1:18" x14ac:dyDescent="0.25">
      <c r="A74" t="s">
        <v>83</v>
      </c>
      <c r="B74" t="s">
        <v>4</v>
      </c>
      <c r="C74">
        <v>181</v>
      </c>
      <c r="D74">
        <v>71</v>
      </c>
      <c r="E74" t="s">
        <v>5</v>
      </c>
      <c r="F74" t="s">
        <v>11</v>
      </c>
      <c r="G74" t="s">
        <v>8</v>
      </c>
      <c r="H74" t="s">
        <v>72</v>
      </c>
      <c r="I74" t="s">
        <v>90</v>
      </c>
      <c r="J74" t="s">
        <v>43</v>
      </c>
      <c r="K74" t="s">
        <v>14</v>
      </c>
      <c r="L74" t="s">
        <v>44</v>
      </c>
      <c r="M74" t="s">
        <v>91</v>
      </c>
      <c r="N74" t="s">
        <v>15</v>
      </c>
      <c r="O74" t="s">
        <v>55</v>
      </c>
      <c r="P74" t="s">
        <v>25</v>
      </c>
      <c r="Q74" t="s">
        <v>39</v>
      </c>
      <c r="R74" s="1">
        <v>25.458065900000001</v>
      </c>
    </row>
    <row r="75" spans="1:18" x14ac:dyDescent="0.25">
      <c r="A75" t="s">
        <v>83</v>
      </c>
      <c r="B75" t="s">
        <v>4</v>
      </c>
      <c r="C75">
        <v>167</v>
      </c>
      <c r="D75">
        <v>71</v>
      </c>
      <c r="E75" t="s">
        <v>5</v>
      </c>
      <c r="F75" t="s">
        <v>19</v>
      </c>
      <c r="G75" t="s">
        <v>44</v>
      </c>
      <c r="H75" t="s">
        <v>9</v>
      </c>
      <c r="I75" t="s">
        <v>69</v>
      </c>
      <c r="J75" t="s">
        <v>43</v>
      </c>
      <c r="K75" t="s">
        <v>14</v>
      </c>
      <c r="L75" t="s">
        <v>44</v>
      </c>
      <c r="M75" t="s">
        <v>37</v>
      </c>
      <c r="N75" t="s">
        <v>65</v>
      </c>
      <c r="O75" t="s">
        <v>55</v>
      </c>
      <c r="P75" t="s">
        <v>14</v>
      </c>
      <c r="Q75" t="s">
        <v>26</v>
      </c>
      <c r="R75" s="1">
        <v>26.986001009999999</v>
      </c>
    </row>
    <row r="76" spans="1:18" x14ac:dyDescent="0.25">
      <c r="A76" t="s">
        <v>94</v>
      </c>
      <c r="B76" t="s">
        <v>4</v>
      </c>
      <c r="C76">
        <v>170</v>
      </c>
      <c r="D76">
        <v>72</v>
      </c>
      <c r="E76" t="s">
        <v>5</v>
      </c>
      <c r="F76" t="s">
        <v>11</v>
      </c>
      <c r="G76" t="s">
        <v>20</v>
      </c>
      <c r="H76" t="s">
        <v>40</v>
      </c>
      <c r="I76" t="s">
        <v>14</v>
      </c>
      <c r="J76" t="s">
        <v>23</v>
      </c>
      <c r="K76" t="s">
        <v>28</v>
      </c>
      <c r="L76" t="s">
        <v>24</v>
      </c>
      <c r="M76" t="s">
        <v>14</v>
      </c>
      <c r="N76" t="s">
        <v>15</v>
      </c>
      <c r="O76" t="s">
        <v>16</v>
      </c>
      <c r="P76" t="s">
        <v>25</v>
      </c>
      <c r="Q76" t="s">
        <v>18</v>
      </c>
      <c r="R76" s="1">
        <v>24.91349481</v>
      </c>
    </row>
    <row r="77" spans="1:18" x14ac:dyDescent="0.25">
      <c r="A77" t="s">
        <v>94</v>
      </c>
      <c r="B77" t="s">
        <v>4</v>
      </c>
      <c r="C77">
        <v>173</v>
      </c>
      <c r="D77">
        <v>70</v>
      </c>
      <c r="E77" t="s">
        <v>5</v>
      </c>
      <c r="F77" t="s">
        <v>44</v>
      </c>
      <c r="G77" t="s">
        <v>20</v>
      </c>
      <c r="H77" t="s">
        <v>40</v>
      </c>
      <c r="I77" t="s">
        <v>22</v>
      </c>
      <c r="J77" t="s">
        <v>23</v>
      </c>
      <c r="K77" t="s">
        <v>12</v>
      </c>
      <c r="L77" t="s">
        <v>19</v>
      </c>
      <c r="M77" t="s">
        <v>37</v>
      </c>
      <c r="N77" t="s">
        <v>15</v>
      </c>
      <c r="O77" t="s">
        <v>16</v>
      </c>
      <c r="P77" t="s">
        <v>49</v>
      </c>
      <c r="Q77" t="s">
        <v>42</v>
      </c>
      <c r="R77" s="1">
        <v>23.38868656</v>
      </c>
    </row>
    <row r="78" spans="1:18" x14ac:dyDescent="0.25">
      <c r="A78" t="s">
        <v>94</v>
      </c>
      <c r="B78" t="s">
        <v>4</v>
      </c>
      <c r="C78">
        <v>178</v>
      </c>
      <c r="D78">
        <v>85</v>
      </c>
      <c r="E78" t="s">
        <v>5</v>
      </c>
      <c r="F78" t="s">
        <v>11</v>
      </c>
      <c r="G78" t="s">
        <v>20</v>
      </c>
      <c r="H78" t="s">
        <v>44</v>
      </c>
      <c r="I78" t="s">
        <v>22</v>
      </c>
      <c r="J78" t="s">
        <v>23</v>
      </c>
      <c r="K78" t="s">
        <v>12</v>
      </c>
      <c r="L78" t="s">
        <v>19</v>
      </c>
      <c r="M78" t="s">
        <v>47</v>
      </c>
      <c r="N78" t="s">
        <v>15</v>
      </c>
      <c r="O78" t="s">
        <v>16</v>
      </c>
      <c r="P78" t="s">
        <v>25</v>
      </c>
      <c r="Q78" t="s">
        <v>26</v>
      </c>
      <c r="R78" s="1">
        <v>26.827420780000001</v>
      </c>
    </row>
    <row r="79" spans="1:18" x14ac:dyDescent="0.25">
      <c r="A79" t="s">
        <v>94</v>
      </c>
      <c r="B79" t="s">
        <v>4</v>
      </c>
      <c r="C79">
        <v>178</v>
      </c>
      <c r="D79">
        <v>59</v>
      </c>
      <c r="E79" t="s">
        <v>5</v>
      </c>
      <c r="F79" t="s">
        <v>11</v>
      </c>
      <c r="G79" t="s">
        <v>20</v>
      </c>
      <c r="H79" t="s">
        <v>44</v>
      </c>
      <c r="I79" t="s">
        <v>22</v>
      </c>
      <c r="J79" t="s">
        <v>23</v>
      </c>
      <c r="K79" t="s">
        <v>52</v>
      </c>
      <c r="L79" t="s">
        <v>19</v>
      </c>
      <c r="M79" t="s">
        <v>47</v>
      </c>
      <c r="N79" t="s">
        <v>15</v>
      </c>
      <c r="O79" t="s">
        <v>16</v>
      </c>
      <c r="P79" t="s">
        <v>49</v>
      </c>
      <c r="Q79" t="s">
        <v>26</v>
      </c>
      <c r="R79" s="1">
        <v>18.621386189999999</v>
      </c>
    </row>
    <row r="80" spans="1:18" x14ac:dyDescent="0.25">
      <c r="A80" t="s">
        <v>94</v>
      </c>
      <c r="B80" t="s">
        <v>36</v>
      </c>
      <c r="C80">
        <v>167</v>
      </c>
      <c r="D80">
        <v>67</v>
      </c>
      <c r="E80" t="s">
        <v>5</v>
      </c>
      <c r="F80" t="s">
        <v>11</v>
      </c>
      <c r="G80" t="s">
        <v>20</v>
      </c>
      <c r="H80" t="s">
        <v>40</v>
      </c>
      <c r="I80" t="s">
        <v>22</v>
      </c>
      <c r="J80" t="s">
        <v>23</v>
      </c>
      <c r="K80" t="s">
        <v>12</v>
      </c>
      <c r="L80" t="s">
        <v>19</v>
      </c>
      <c r="M80" t="s">
        <v>47</v>
      </c>
      <c r="N80" t="s">
        <v>46</v>
      </c>
      <c r="O80" t="s">
        <v>16</v>
      </c>
      <c r="P80" t="s">
        <v>25</v>
      </c>
      <c r="Q80" t="s">
        <v>26</v>
      </c>
      <c r="R80" s="1">
        <v>24.023808670000001</v>
      </c>
    </row>
    <row r="81" spans="1:18" x14ac:dyDescent="0.25">
      <c r="A81" t="s">
        <v>94</v>
      </c>
      <c r="B81" t="s">
        <v>4</v>
      </c>
      <c r="C81">
        <v>174</v>
      </c>
      <c r="D81">
        <v>92</v>
      </c>
      <c r="E81" t="s">
        <v>54</v>
      </c>
      <c r="F81" t="s">
        <v>6</v>
      </c>
      <c r="G81" t="s">
        <v>11</v>
      </c>
      <c r="H81" t="s">
        <v>9</v>
      </c>
      <c r="I81" t="s">
        <v>141</v>
      </c>
      <c r="J81" t="s">
        <v>43</v>
      </c>
      <c r="K81" t="s">
        <v>14</v>
      </c>
      <c r="L81" t="s">
        <v>44</v>
      </c>
      <c r="M81" t="s">
        <v>60</v>
      </c>
      <c r="N81" t="s">
        <v>65</v>
      </c>
      <c r="O81" t="s">
        <v>55</v>
      </c>
      <c r="P81" t="s">
        <v>17</v>
      </c>
      <c r="Q81" t="s">
        <v>26</v>
      </c>
      <c r="R81" s="1">
        <v>30.387105300000002</v>
      </c>
    </row>
    <row r="82" spans="1:18" x14ac:dyDescent="0.25">
      <c r="A82" t="s">
        <v>94</v>
      </c>
      <c r="B82" t="s">
        <v>4</v>
      </c>
      <c r="C82">
        <v>173</v>
      </c>
      <c r="D82">
        <v>75</v>
      </c>
      <c r="E82" t="s">
        <v>54</v>
      </c>
      <c r="F82" t="s">
        <v>11</v>
      </c>
      <c r="G82" t="s">
        <v>8</v>
      </c>
      <c r="H82" t="s">
        <v>44</v>
      </c>
      <c r="I82" t="s">
        <v>22</v>
      </c>
      <c r="J82" t="s">
        <v>23</v>
      </c>
      <c r="K82" t="s">
        <v>12</v>
      </c>
      <c r="L82" t="s">
        <v>19</v>
      </c>
      <c r="M82" t="s">
        <v>47</v>
      </c>
      <c r="N82" t="s">
        <v>38</v>
      </c>
      <c r="O82" t="s">
        <v>16</v>
      </c>
      <c r="P82" t="s">
        <v>48</v>
      </c>
      <c r="Q82" t="s">
        <v>26</v>
      </c>
      <c r="R82" s="1">
        <v>25.059307029999999</v>
      </c>
    </row>
    <row r="83" spans="1:18" x14ac:dyDescent="0.25">
      <c r="A83" t="s">
        <v>94</v>
      </c>
      <c r="B83" t="s">
        <v>4</v>
      </c>
      <c r="C83">
        <v>178</v>
      </c>
      <c r="D83">
        <v>80</v>
      </c>
      <c r="E83" t="s">
        <v>54</v>
      </c>
      <c r="F83" t="s">
        <v>7</v>
      </c>
      <c r="G83" t="s">
        <v>20</v>
      </c>
      <c r="H83" t="s">
        <v>44</v>
      </c>
      <c r="I83" t="s">
        <v>22</v>
      </c>
      <c r="J83" t="s">
        <v>23</v>
      </c>
      <c r="K83" t="s">
        <v>12</v>
      </c>
      <c r="L83" t="s">
        <v>19</v>
      </c>
      <c r="M83" t="s">
        <v>47</v>
      </c>
      <c r="N83" t="s">
        <v>15</v>
      </c>
      <c r="O83" t="s">
        <v>16</v>
      </c>
      <c r="P83" t="s">
        <v>48</v>
      </c>
      <c r="Q83" t="s">
        <v>26</v>
      </c>
      <c r="R83" s="1">
        <v>20.44913742</v>
      </c>
    </row>
    <row r="84" spans="1:18" x14ac:dyDescent="0.25">
      <c r="A84" t="s">
        <v>94</v>
      </c>
      <c r="B84" t="s">
        <v>36</v>
      </c>
      <c r="C84">
        <v>165</v>
      </c>
      <c r="D84">
        <v>60</v>
      </c>
      <c r="E84" t="s">
        <v>54</v>
      </c>
      <c r="F84" t="s">
        <v>6</v>
      </c>
      <c r="G84" t="s">
        <v>20</v>
      </c>
      <c r="H84" t="s">
        <v>21</v>
      </c>
      <c r="I84" t="s">
        <v>139</v>
      </c>
      <c r="J84" t="s">
        <v>23</v>
      </c>
      <c r="K84" t="s">
        <v>12</v>
      </c>
      <c r="L84" t="s">
        <v>19</v>
      </c>
      <c r="M84" t="s">
        <v>45</v>
      </c>
      <c r="N84" t="s">
        <v>15</v>
      </c>
      <c r="O84" t="s">
        <v>16</v>
      </c>
      <c r="P84" t="s">
        <v>48</v>
      </c>
      <c r="Q84" t="s">
        <v>18</v>
      </c>
      <c r="R84" s="1">
        <v>24.968009739999999</v>
      </c>
    </row>
    <row r="85" spans="1:18" x14ac:dyDescent="0.25">
      <c r="A85" t="s">
        <v>94</v>
      </c>
      <c r="B85" t="s">
        <v>4</v>
      </c>
      <c r="C85">
        <v>179</v>
      </c>
      <c r="D85">
        <v>80</v>
      </c>
      <c r="E85" t="s">
        <v>54</v>
      </c>
      <c r="F85" t="s">
        <v>44</v>
      </c>
      <c r="G85" t="s">
        <v>20</v>
      </c>
      <c r="H85" t="s">
        <v>44</v>
      </c>
      <c r="I85" t="s">
        <v>22</v>
      </c>
      <c r="J85" t="s">
        <v>23</v>
      </c>
      <c r="K85" t="s">
        <v>12</v>
      </c>
      <c r="L85" t="s">
        <v>19</v>
      </c>
      <c r="M85" t="s">
        <v>47</v>
      </c>
      <c r="N85" t="s">
        <v>46</v>
      </c>
      <c r="O85" t="s">
        <v>16</v>
      </c>
      <c r="P85" t="s">
        <v>25</v>
      </c>
      <c r="Q85" t="s">
        <v>26</v>
      </c>
      <c r="R85" s="1">
        <v>27.548209369999999</v>
      </c>
    </row>
    <row r="86" spans="1:18" x14ac:dyDescent="0.25">
      <c r="A86" t="s">
        <v>94</v>
      </c>
      <c r="B86" t="s">
        <v>36</v>
      </c>
      <c r="C86">
        <v>165</v>
      </c>
      <c r="D86">
        <v>56</v>
      </c>
      <c r="E86" t="s">
        <v>54</v>
      </c>
      <c r="F86" t="s">
        <v>11</v>
      </c>
      <c r="G86" t="s">
        <v>20</v>
      </c>
      <c r="H86" t="s">
        <v>40</v>
      </c>
      <c r="I86" t="s">
        <v>22</v>
      </c>
      <c r="J86" t="s">
        <v>23</v>
      </c>
      <c r="K86" t="s">
        <v>12</v>
      </c>
      <c r="L86" t="s">
        <v>19</v>
      </c>
      <c r="M86" t="s">
        <v>14</v>
      </c>
      <c r="N86" t="s">
        <v>46</v>
      </c>
      <c r="O86" t="s">
        <v>16</v>
      </c>
      <c r="P86" t="s">
        <v>49</v>
      </c>
      <c r="Q86" t="s">
        <v>26</v>
      </c>
      <c r="R86" s="1">
        <v>16.19695497</v>
      </c>
    </row>
    <row r="87" spans="1:18" x14ac:dyDescent="0.25">
      <c r="A87" t="s">
        <v>94</v>
      </c>
      <c r="B87" t="s">
        <v>4</v>
      </c>
      <c r="C87">
        <v>173</v>
      </c>
      <c r="D87">
        <v>86</v>
      </c>
      <c r="E87" t="s">
        <v>54</v>
      </c>
      <c r="F87" t="s">
        <v>11</v>
      </c>
      <c r="G87" t="s">
        <v>19</v>
      </c>
      <c r="H87" t="s">
        <v>40</v>
      </c>
      <c r="I87" t="s">
        <v>22</v>
      </c>
      <c r="J87" t="s">
        <v>23</v>
      </c>
      <c r="K87" t="s">
        <v>50</v>
      </c>
      <c r="L87" t="s">
        <v>19</v>
      </c>
      <c r="M87" t="s">
        <v>47</v>
      </c>
      <c r="N87" t="s">
        <v>15</v>
      </c>
      <c r="O87" t="s">
        <v>16</v>
      </c>
      <c r="P87" t="s">
        <v>25</v>
      </c>
      <c r="Q87" t="s">
        <v>26</v>
      </c>
      <c r="R87" s="1">
        <v>24.38237298</v>
      </c>
    </row>
    <row r="88" spans="1:18" x14ac:dyDescent="0.25">
      <c r="A88" t="s">
        <v>94</v>
      </c>
      <c r="B88" t="s">
        <v>4</v>
      </c>
      <c r="C88">
        <v>178</v>
      </c>
      <c r="D88">
        <v>89</v>
      </c>
      <c r="E88" t="s">
        <v>54</v>
      </c>
      <c r="F88" t="s">
        <v>11</v>
      </c>
      <c r="G88" t="s">
        <v>19</v>
      </c>
      <c r="H88" t="s">
        <v>44</v>
      </c>
      <c r="I88" t="s">
        <v>22</v>
      </c>
      <c r="J88" t="s">
        <v>23</v>
      </c>
      <c r="K88" t="s">
        <v>12</v>
      </c>
      <c r="L88" t="s">
        <v>19</v>
      </c>
      <c r="M88" t="s">
        <v>47</v>
      </c>
      <c r="N88" t="s">
        <v>15</v>
      </c>
      <c r="O88" t="s">
        <v>16</v>
      </c>
      <c r="P88" t="s">
        <v>25</v>
      </c>
      <c r="Q88" t="s">
        <v>26</v>
      </c>
      <c r="R88" s="1">
        <v>21.258503399999999</v>
      </c>
    </row>
    <row r="89" spans="1:18" x14ac:dyDescent="0.25">
      <c r="A89" t="s">
        <v>94</v>
      </c>
      <c r="B89" t="s">
        <v>36</v>
      </c>
      <c r="C89">
        <v>164</v>
      </c>
      <c r="D89">
        <v>80</v>
      </c>
      <c r="E89" t="s">
        <v>54</v>
      </c>
      <c r="F89" t="s">
        <v>19</v>
      </c>
      <c r="G89" t="s">
        <v>20</v>
      </c>
      <c r="H89" t="s">
        <v>9</v>
      </c>
      <c r="I89" t="s">
        <v>139</v>
      </c>
      <c r="J89" t="s">
        <v>43</v>
      </c>
      <c r="K89" t="s">
        <v>14</v>
      </c>
      <c r="L89" t="s">
        <v>44</v>
      </c>
      <c r="M89" t="s">
        <v>53</v>
      </c>
      <c r="N89" t="s">
        <v>15</v>
      </c>
      <c r="O89" t="s">
        <v>16</v>
      </c>
      <c r="P89" t="s">
        <v>25</v>
      </c>
      <c r="Q89" t="s">
        <v>26</v>
      </c>
      <c r="R89" s="1">
        <v>29.585798820000001</v>
      </c>
    </row>
    <row r="90" spans="1:18" x14ac:dyDescent="0.25">
      <c r="A90" t="s">
        <v>94</v>
      </c>
      <c r="B90" t="s">
        <v>36</v>
      </c>
      <c r="C90">
        <v>156</v>
      </c>
      <c r="D90">
        <v>72</v>
      </c>
      <c r="E90" t="s">
        <v>54</v>
      </c>
      <c r="F90" t="s">
        <v>44</v>
      </c>
      <c r="G90" t="s">
        <v>20</v>
      </c>
      <c r="H90" t="s">
        <v>40</v>
      </c>
      <c r="I90" t="s">
        <v>22</v>
      </c>
      <c r="J90" t="s">
        <v>23</v>
      </c>
      <c r="K90" t="s">
        <v>52</v>
      </c>
      <c r="L90" t="s">
        <v>19</v>
      </c>
      <c r="M90" t="s">
        <v>53</v>
      </c>
      <c r="N90" t="s">
        <v>15</v>
      </c>
      <c r="O90" t="s">
        <v>16</v>
      </c>
      <c r="P90" t="s">
        <v>25</v>
      </c>
      <c r="Q90" t="s">
        <v>26</v>
      </c>
      <c r="R90" s="1">
        <v>19.834710739999998</v>
      </c>
    </row>
    <row r="91" spans="1:18" x14ac:dyDescent="0.25">
      <c r="A91" t="s">
        <v>94</v>
      </c>
      <c r="B91" t="s">
        <v>4</v>
      </c>
      <c r="C91">
        <v>166</v>
      </c>
      <c r="D91">
        <v>95</v>
      </c>
      <c r="E91" t="s">
        <v>54</v>
      </c>
      <c r="F91" t="s">
        <v>19</v>
      </c>
      <c r="G91" t="s">
        <v>8</v>
      </c>
      <c r="H91" t="s">
        <v>9</v>
      </c>
      <c r="I91" t="s">
        <v>123</v>
      </c>
      <c r="J91" t="s">
        <v>43</v>
      </c>
      <c r="K91" t="s">
        <v>14</v>
      </c>
      <c r="L91" t="s">
        <v>44</v>
      </c>
      <c r="M91" t="s">
        <v>79</v>
      </c>
      <c r="N91" t="s">
        <v>38</v>
      </c>
      <c r="O91" t="s">
        <v>55</v>
      </c>
      <c r="P91" t="s">
        <v>14</v>
      </c>
      <c r="Q91" t="s">
        <v>18</v>
      </c>
      <c r="R91" s="1">
        <v>40.888888889999997</v>
      </c>
    </row>
    <row r="92" spans="1:18" x14ac:dyDescent="0.25">
      <c r="A92" t="s">
        <v>94</v>
      </c>
      <c r="B92" t="s">
        <v>36</v>
      </c>
      <c r="C92">
        <v>150</v>
      </c>
      <c r="D92">
        <v>92</v>
      </c>
      <c r="E92" t="s">
        <v>5</v>
      </c>
      <c r="F92" t="s">
        <v>6</v>
      </c>
      <c r="G92" t="s">
        <v>8</v>
      </c>
      <c r="H92" t="s">
        <v>9</v>
      </c>
      <c r="I92" t="s">
        <v>69</v>
      </c>
      <c r="J92" t="s">
        <v>11</v>
      </c>
      <c r="K92" t="s">
        <v>12</v>
      </c>
      <c r="L92" t="s">
        <v>13</v>
      </c>
      <c r="M92" t="s">
        <v>95</v>
      </c>
      <c r="N92" t="s">
        <v>65</v>
      </c>
      <c r="O92" t="s">
        <v>58</v>
      </c>
      <c r="P92" t="s">
        <v>48</v>
      </c>
      <c r="Q92" t="s">
        <v>26</v>
      </c>
      <c r="R92" s="1">
        <v>22.546576479999999</v>
      </c>
    </row>
    <row r="93" spans="1:18" x14ac:dyDescent="0.25">
      <c r="A93" t="s">
        <v>94</v>
      </c>
      <c r="B93" t="s">
        <v>36</v>
      </c>
      <c r="C93">
        <v>159</v>
      </c>
      <c r="D93">
        <v>57</v>
      </c>
      <c r="E93" t="s">
        <v>5</v>
      </c>
      <c r="F93" t="s">
        <v>7</v>
      </c>
      <c r="G93" t="s">
        <v>11</v>
      </c>
      <c r="H93" t="s">
        <v>72</v>
      </c>
      <c r="I93" t="s">
        <v>14</v>
      </c>
      <c r="J93" t="s">
        <v>43</v>
      </c>
      <c r="K93" t="s">
        <v>14</v>
      </c>
      <c r="L93" t="s">
        <v>44</v>
      </c>
      <c r="M93" t="s">
        <v>89</v>
      </c>
      <c r="N93" t="s">
        <v>38</v>
      </c>
      <c r="O93" t="s">
        <v>58</v>
      </c>
      <c r="P93" t="s">
        <v>14</v>
      </c>
      <c r="Q93" t="s">
        <v>26</v>
      </c>
      <c r="R93" s="1">
        <v>24.444444440000002</v>
      </c>
    </row>
    <row r="94" spans="1:18" x14ac:dyDescent="0.25">
      <c r="A94" t="s">
        <v>94</v>
      </c>
      <c r="B94" t="s">
        <v>36</v>
      </c>
      <c r="C94">
        <v>176</v>
      </c>
      <c r="D94">
        <v>59</v>
      </c>
      <c r="E94" t="s">
        <v>5</v>
      </c>
      <c r="F94" t="s">
        <v>7</v>
      </c>
      <c r="G94" t="s">
        <v>8</v>
      </c>
      <c r="H94" t="s">
        <v>72</v>
      </c>
      <c r="I94" t="s">
        <v>10</v>
      </c>
      <c r="J94" t="s">
        <v>11</v>
      </c>
      <c r="K94" t="s">
        <v>12</v>
      </c>
      <c r="L94" t="s">
        <v>13</v>
      </c>
      <c r="M94" t="s">
        <v>45</v>
      </c>
      <c r="N94" t="s">
        <v>15</v>
      </c>
      <c r="O94" t="s">
        <v>34</v>
      </c>
      <c r="P94" t="s">
        <v>80</v>
      </c>
      <c r="Q94" t="s">
        <v>44</v>
      </c>
      <c r="R94" s="1">
        <v>35.003199219999999</v>
      </c>
    </row>
    <row r="95" spans="1:18" x14ac:dyDescent="0.25">
      <c r="A95" t="s">
        <v>94</v>
      </c>
      <c r="B95" t="s">
        <v>4</v>
      </c>
      <c r="C95">
        <v>153</v>
      </c>
      <c r="D95">
        <v>62</v>
      </c>
      <c r="E95" t="s">
        <v>5</v>
      </c>
      <c r="F95" t="s">
        <v>7</v>
      </c>
      <c r="G95" t="s">
        <v>20</v>
      </c>
      <c r="H95" t="s">
        <v>27</v>
      </c>
      <c r="I95" t="s">
        <v>10</v>
      </c>
      <c r="J95" t="s">
        <v>23</v>
      </c>
      <c r="K95" t="s">
        <v>73</v>
      </c>
      <c r="L95" t="s">
        <v>19</v>
      </c>
      <c r="M95" t="s">
        <v>14</v>
      </c>
      <c r="N95" t="s">
        <v>38</v>
      </c>
      <c r="O95" t="s">
        <v>16</v>
      </c>
      <c r="P95" t="s">
        <v>25</v>
      </c>
      <c r="Q95" t="s">
        <v>42</v>
      </c>
      <c r="R95" s="1">
        <v>19.95935549</v>
      </c>
    </row>
    <row r="96" spans="1:18" x14ac:dyDescent="0.25">
      <c r="A96" t="s">
        <v>94</v>
      </c>
      <c r="B96" t="s">
        <v>36</v>
      </c>
      <c r="C96">
        <v>168</v>
      </c>
      <c r="D96">
        <v>58</v>
      </c>
      <c r="E96" t="s">
        <v>5</v>
      </c>
      <c r="F96" t="s">
        <v>7</v>
      </c>
      <c r="G96" t="s">
        <v>8</v>
      </c>
      <c r="H96" t="s">
        <v>72</v>
      </c>
      <c r="I96" t="s">
        <v>10</v>
      </c>
      <c r="J96" t="s">
        <v>11</v>
      </c>
      <c r="K96" t="s">
        <v>12</v>
      </c>
      <c r="L96" t="s">
        <v>13</v>
      </c>
      <c r="M96" t="s">
        <v>45</v>
      </c>
      <c r="N96" t="s">
        <v>15</v>
      </c>
      <c r="O96" t="s">
        <v>34</v>
      </c>
      <c r="P96" t="s">
        <v>80</v>
      </c>
      <c r="Q96" t="s">
        <v>44</v>
      </c>
      <c r="R96" s="1">
        <v>32.488628980000001</v>
      </c>
    </row>
    <row r="97" spans="1:18" x14ac:dyDescent="0.25">
      <c r="A97" t="s">
        <v>94</v>
      </c>
      <c r="B97" t="s">
        <v>4</v>
      </c>
      <c r="C97">
        <v>156</v>
      </c>
      <c r="D97">
        <v>66</v>
      </c>
      <c r="E97" t="s">
        <v>5</v>
      </c>
      <c r="F97" t="s">
        <v>7</v>
      </c>
      <c r="G97" t="s">
        <v>20</v>
      </c>
      <c r="H97" t="s">
        <v>27</v>
      </c>
      <c r="I97" t="s">
        <v>10</v>
      </c>
      <c r="J97" t="s">
        <v>23</v>
      </c>
      <c r="K97" t="s">
        <v>73</v>
      </c>
      <c r="L97" t="s">
        <v>19</v>
      </c>
      <c r="M97" t="s">
        <v>14</v>
      </c>
      <c r="N97" t="s">
        <v>38</v>
      </c>
      <c r="O97" t="s">
        <v>16</v>
      </c>
      <c r="P97" t="s">
        <v>25</v>
      </c>
      <c r="Q97" t="s">
        <v>42</v>
      </c>
      <c r="R97" s="1">
        <v>20.43816558</v>
      </c>
    </row>
    <row r="98" spans="1:18" x14ac:dyDescent="0.25">
      <c r="A98" t="s">
        <v>94</v>
      </c>
      <c r="B98" t="s">
        <v>4</v>
      </c>
      <c r="C98">
        <v>166</v>
      </c>
      <c r="D98">
        <v>92</v>
      </c>
      <c r="E98" t="s">
        <v>54</v>
      </c>
      <c r="F98" t="s">
        <v>19</v>
      </c>
      <c r="G98" t="s">
        <v>8</v>
      </c>
      <c r="H98" t="s">
        <v>9</v>
      </c>
      <c r="I98" t="s">
        <v>123</v>
      </c>
      <c r="J98" t="s">
        <v>43</v>
      </c>
      <c r="K98" t="s">
        <v>14</v>
      </c>
      <c r="L98" t="s">
        <v>44</v>
      </c>
      <c r="M98" t="s">
        <v>79</v>
      </c>
      <c r="N98" t="s">
        <v>38</v>
      </c>
      <c r="O98" t="s">
        <v>55</v>
      </c>
      <c r="P98" t="s">
        <v>14</v>
      </c>
      <c r="Q98" t="s">
        <v>18</v>
      </c>
      <c r="R98" s="1">
        <v>37.804076270000003</v>
      </c>
    </row>
    <row r="99" spans="1:18" x14ac:dyDescent="0.25">
      <c r="A99" t="s">
        <v>94</v>
      </c>
      <c r="B99" t="s">
        <v>4</v>
      </c>
      <c r="C99">
        <v>156</v>
      </c>
      <c r="D99">
        <v>92</v>
      </c>
      <c r="E99" t="s">
        <v>5</v>
      </c>
      <c r="F99" t="s">
        <v>6</v>
      </c>
      <c r="G99" t="s">
        <v>8</v>
      </c>
      <c r="H99" t="s">
        <v>9</v>
      </c>
      <c r="I99" t="s">
        <v>69</v>
      </c>
      <c r="J99" t="s">
        <v>11</v>
      </c>
      <c r="K99" t="s">
        <v>12</v>
      </c>
      <c r="L99" t="s">
        <v>13</v>
      </c>
      <c r="M99" t="s">
        <v>95</v>
      </c>
      <c r="N99" t="s">
        <v>65</v>
      </c>
      <c r="O99" t="s">
        <v>58</v>
      </c>
      <c r="P99" t="s">
        <v>48</v>
      </c>
      <c r="Q99" t="s">
        <v>26</v>
      </c>
      <c r="R99" s="1">
        <v>23.337684429999999</v>
      </c>
    </row>
    <row r="100" spans="1:18" x14ac:dyDescent="0.25">
      <c r="A100" t="s">
        <v>97</v>
      </c>
      <c r="B100" t="s">
        <v>36</v>
      </c>
      <c r="C100">
        <v>158</v>
      </c>
      <c r="D100">
        <v>68</v>
      </c>
      <c r="E100" t="s">
        <v>5</v>
      </c>
      <c r="F100" t="s">
        <v>11</v>
      </c>
      <c r="G100" t="s">
        <v>8</v>
      </c>
      <c r="H100" t="s">
        <v>30</v>
      </c>
      <c r="I100" t="s">
        <v>14</v>
      </c>
      <c r="J100" t="s">
        <v>23</v>
      </c>
      <c r="K100" t="s">
        <v>12</v>
      </c>
      <c r="L100" t="s">
        <v>24</v>
      </c>
      <c r="M100" t="s">
        <v>37</v>
      </c>
      <c r="N100" t="s">
        <v>38</v>
      </c>
      <c r="O100" t="s">
        <v>55</v>
      </c>
      <c r="P100" t="s">
        <v>49</v>
      </c>
      <c r="Q100" t="s">
        <v>26</v>
      </c>
      <c r="R100" s="1">
        <v>27.239224480000001</v>
      </c>
    </row>
    <row r="101" spans="1:18" x14ac:dyDescent="0.25">
      <c r="A101" t="s">
        <v>97</v>
      </c>
      <c r="B101" t="s">
        <v>4</v>
      </c>
      <c r="C101">
        <v>173</v>
      </c>
      <c r="D101">
        <v>83</v>
      </c>
      <c r="E101" t="s">
        <v>5</v>
      </c>
      <c r="F101" t="s">
        <v>7</v>
      </c>
      <c r="G101" t="s">
        <v>20</v>
      </c>
      <c r="H101" t="s">
        <v>44</v>
      </c>
      <c r="I101" t="s">
        <v>22</v>
      </c>
      <c r="J101" t="s">
        <v>23</v>
      </c>
      <c r="K101" t="s">
        <v>12</v>
      </c>
      <c r="L101" t="s">
        <v>19</v>
      </c>
      <c r="M101" t="s">
        <v>53</v>
      </c>
      <c r="N101" t="s">
        <v>46</v>
      </c>
      <c r="O101" t="s">
        <v>16</v>
      </c>
      <c r="P101" t="s">
        <v>48</v>
      </c>
      <c r="Q101" t="s">
        <v>42</v>
      </c>
      <c r="R101" s="1">
        <v>27.732299780000002</v>
      </c>
    </row>
    <row r="102" spans="1:18" x14ac:dyDescent="0.25">
      <c r="A102" t="s">
        <v>97</v>
      </c>
      <c r="B102" t="s">
        <v>36</v>
      </c>
      <c r="C102">
        <v>167</v>
      </c>
      <c r="D102">
        <v>80</v>
      </c>
      <c r="E102" t="s">
        <v>5</v>
      </c>
      <c r="F102" t="s">
        <v>11</v>
      </c>
      <c r="G102" t="s">
        <v>20</v>
      </c>
      <c r="H102" t="s">
        <v>40</v>
      </c>
      <c r="I102" t="s">
        <v>22</v>
      </c>
      <c r="J102" t="s">
        <v>23</v>
      </c>
      <c r="K102" t="s">
        <v>12</v>
      </c>
      <c r="L102" t="s">
        <v>19</v>
      </c>
      <c r="M102" t="s">
        <v>14</v>
      </c>
      <c r="N102" t="s">
        <v>46</v>
      </c>
      <c r="O102" t="s">
        <v>16</v>
      </c>
      <c r="P102" t="s">
        <v>49</v>
      </c>
      <c r="Q102" t="s">
        <v>26</v>
      </c>
      <c r="R102" s="1">
        <v>28.685144680000001</v>
      </c>
    </row>
    <row r="103" spans="1:18" x14ac:dyDescent="0.25">
      <c r="A103" t="s">
        <v>97</v>
      </c>
      <c r="B103" t="s">
        <v>36</v>
      </c>
      <c r="C103">
        <v>164</v>
      </c>
      <c r="D103">
        <v>55</v>
      </c>
      <c r="E103" t="s">
        <v>54</v>
      </c>
      <c r="F103" t="s">
        <v>6</v>
      </c>
      <c r="G103" t="s">
        <v>20</v>
      </c>
      <c r="H103" t="s">
        <v>44</v>
      </c>
      <c r="I103" t="s">
        <v>22</v>
      </c>
      <c r="J103" t="s">
        <v>23</v>
      </c>
      <c r="K103" t="s">
        <v>12</v>
      </c>
      <c r="L103" t="s">
        <v>19</v>
      </c>
      <c r="M103" t="s">
        <v>45</v>
      </c>
      <c r="N103" t="s">
        <v>46</v>
      </c>
      <c r="O103" t="s">
        <v>16</v>
      </c>
      <c r="P103" t="s">
        <v>49</v>
      </c>
      <c r="Q103" t="s">
        <v>26</v>
      </c>
      <c r="R103" s="1">
        <v>22.22906193</v>
      </c>
    </row>
    <row r="104" spans="1:18" x14ac:dyDescent="0.25">
      <c r="A104" t="s">
        <v>97</v>
      </c>
      <c r="B104" t="s">
        <v>36</v>
      </c>
      <c r="C104">
        <v>175</v>
      </c>
      <c r="D104">
        <v>95</v>
      </c>
      <c r="E104" t="s">
        <v>54</v>
      </c>
      <c r="F104" t="s">
        <v>6</v>
      </c>
      <c r="G104" t="s">
        <v>20</v>
      </c>
      <c r="H104" t="s">
        <v>9</v>
      </c>
      <c r="I104" t="s">
        <v>140</v>
      </c>
      <c r="J104" t="s">
        <v>11</v>
      </c>
      <c r="K104" t="s">
        <v>12</v>
      </c>
      <c r="L104" t="s">
        <v>32</v>
      </c>
      <c r="M104" t="s">
        <v>37</v>
      </c>
      <c r="N104" t="s">
        <v>15</v>
      </c>
      <c r="O104" t="s">
        <v>16</v>
      </c>
      <c r="P104" t="s">
        <v>25</v>
      </c>
      <c r="Q104" t="s">
        <v>26</v>
      </c>
      <c r="R104" s="1">
        <v>29.700413220000002</v>
      </c>
    </row>
    <row r="105" spans="1:18" x14ac:dyDescent="0.25">
      <c r="A105" t="s">
        <v>97</v>
      </c>
      <c r="B105" t="s">
        <v>4</v>
      </c>
      <c r="C105">
        <v>176</v>
      </c>
      <c r="D105">
        <v>92</v>
      </c>
      <c r="E105" t="s">
        <v>54</v>
      </c>
      <c r="F105" t="s">
        <v>44</v>
      </c>
      <c r="G105" t="s">
        <v>20</v>
      </c>
      <c r="H105" t="s">
        <v>44</v>
      </c>
      <c r="I105" t="s">
        <v>22</v>
      </c>
      <c r="J105" t="s">
        <v>23</v>
      </c>
      <c r="K105" t="s">
        <v>12</v>
      </c>
      <c r="L105" t="s">
        <v>19</v>
      </c>
      <c r="M105" t="s">
        <v>14</v>
      </c>
      <c r="N105" t="s">
        <v>46</v>
      </c>
      <c r="O105" t="s">
        <v>16</v>
      </c>
      <c r="P105" t="s">
        <v>49</v>
      </c>
      <c r="Q105" t="s">
        <v>26</v>
      </c>
      <c r="R105" s="1">
        <v>31.221303949999999</v>
      </c>
    </row>
    <row r="106" spans="1:18" x14ac:dyDescent="0.25">
      <c r="A106" t="s">
        <v>97</v>
      </c>
      <c r="B106" t="s">
        <v>36</v>
      </c>
      <c r="C106">
        <v>165</v>
      </c>
      <c r="D106">
        <v>85</v>
      </c>
      <c r="E106" t="s">
        <v>54</v>
      </c>
      <c r="F106" t="s">
        <v>11</v>
      </c>
      <c r="G106" t="s">
        <v>20</v>
      </c>
      <c r="H106" t="s">
        <v>44</v>
      </c>
      <c r="I106" t="s">
        <v>22</v>
      </c>
      <c r="J106" t="s">
        <v>23</v>
      </c>
      <c r="K106" t="s">
        <v>12</v>
      </c>
      <c r="L106" t="s">
        <v>19</v>
      </c>
      <c r="M106" t="s">
        <v>37</v>
      </c>
      <c r="N106" t="s">
        <v>46</v>
      </c>
      <c r="O106" t="s">
        <v>16</v>
      </c>
      <c r="P106" t="s">
        <v>25</v>
      </c>
      <c r="Q106" t="s">
        <v>26</v>
      </c>
      <c r="R106" s="1">
        <v>19.95728441</v>
      </c>
    </row>
    <row r="107" spans="1:18" x14ac:dyDescent="0.25">
      <c r="A107" t="s">
        <v>97</v>
      </c>
      <c r="B107" t="s">
        <v>36</v>
      </c>
      <c r="C107">
        <v>167</v>
      </c>
      <c r="D107">
        <v>68</v>
      </c>
      <c r="E107" t="s">
        <v>54</v>
      </c>
      <c r="F107" t="s">
        <v>11</v>
      </c>
      <c r="G107" t="s">
        <v>19</v>
      </c>
      <c r="H107" t="s">
        <v>9</v>
      </c>
      <c r="I107" t="s">
        <v>22</v>
      </c>
      <c r="J107" t="s">
        <v>23</v>
      </c>
      <c r="K107" t="s">
        <v>12</v>
      </c>
      <c r="L107" t="s">
        <v>19</v>
      </c>
      <c r="M107" t="s">
        <v>45</v>
      </c>
      <c r="N107" t="s">
        <v>46</v>
      </c>
      <c r="O107" t="s">
        <v>16</v>
      </c>
      <c r="P107" t="s">
        <v>25</v>
      </c>
      <c r="Q107" t="s">
        <v>26</v>
      </c>
      <c r="R107" s="1">
        <v>28.089887640000001</v>
      </c>
    </row>
    <row r="108" spans="1:18" x14ac:dyDescent="0.25">
      <c r="A108" t="s">
        <v>97</v>
      </c>
      <c r="B108" t="s">
        <v>4</v>
      </c>
      <c r="C108">
        <v>178</v>
      </c>
      <c r="D108">
        <v>67</v>
      </c>
      <c r="E108" t="s">
        <v>5</v>
      </c>
      <c r="F108" t="s">
        <v>11</v>
      </c>
      <c r="G108" t="s">
        <v>8</v>
      </c>
      <c r="H108" t="s">
        <v>44</v>
      </c>
      <c r="I108" t="s">
        <v>14</v>
      </c>
      <c r="J108" t="s">
        <v>23</v>
      </c>
      <c r="K108" t="s">
        <v>98</v>
      </c>
      <c r="L108" t="s">
        <v>24</v>
      </c>
      <c r="M108" t="s">
        <v>14</v>
      </c>
      <c r="N108" t="s">
        <v>15</v>
      </c>
      <c r="O108" t="s">
        <v>16</v>
      </c>
      <c r="P108" t="s">
        <v>99</v>
      </c>
      <c r="Q108" t="s">
        <v>44</v>
      </c>
      <c r="R108" s="1">
        <v>26.485539750000001</v>
      </c>
    </row>
    <row r="109" spans="1:18" x14ac:dyDescent="0.25">
      <c r="A109" t="s">
        <v>97</v>
      </c>
      <c r="B109" t="s">
        <v>36</v>
      </c>
      <c r="C109">
        <v>171</v>
      </c>
      <c r="D109">
        <v>42</v>
      </c>
      <c r="E109" t="s">
        <v>5</v>
      </c>
      <c r="F109" t="s">
        <v>11</v>
      </c>
      <c r="G109" t="s">
        <v>44</v>
      </c>
      <c r="H109" t="s">
        <v>27</v>
      </c>
      <c r="I109" t="s">
        <v>14</v>
      </c>
      <c r="J109" t="s">
        <v>11</v>
      </c>
      <c r="K109" t="s">
        <v>12</v>
      </c>
      <c r="L109" t="s">
        <v>13</v>
      </c>
      <c r="M109" t="s">
        <v>14</v>
      </c>
      <c r="N109" t="s">
        <v>15</v>
      </c>
      <c r="O109" t="s">
        <v>16</v>
      </c>
      <c r="P109" t="s">
        <v>29</v>
      </c>
      <c r="Q109" t="s">
        <v>42</v>
      </c>
      <c r="R109" s="1">
        <v>20.745069390000001</v>
      </c>
    </row>
    <row r="110" spans="1:18" x14ac:dyDescent="0.25">
      <c r="A110" t="s">
        <v>97</v>
      </c>
      <c r="B110" t="s">
        <v>4</v>
      </c>
      <c r="C110">
        <v>185</v>
      </c>
      <c r="D110">
        <v>71</v>
      </c>
      <c r="E110" t="s">
        <v>5</v>
      </c>
      <c r="F110" t="s">
        <v>11</v>
      </c>
      <c r="G110" t="s">
        <v>8</v>
      </c>
      <c r="H110" t="s">
        <v>72</v>
      </c>
      <c r="I110" t="s">
        <v>90</v>
      </c>
      <c r="J110" t="s">
        <v>43</v>
      </c>
      <c r="K110" t="s">
        <v>14</v>
      </c>
      <c r="L110" t="s">
        <v>44</v>
      </c>
      <c r="M110" t="s">
        <v>91</v>
      </c>
      <c r="N110" t="s">
        <v>15</v>
      </c>
      <c r="O110" t="s">
        <v>55</v>
      </c>
      <c r="P110" t="s">
        <v>25</v>
      </c>
      <c r="Q110" t="s">
        <v>39</v>
      </c>
      <c r="R110" s="1">
        <v>26.446280990000002</v>
      </c>
    </row>
    <row r="111" spans="1:18" x14ac:dyDescent="0.25">
      <c r="A111" t="s">
        <v>97</v>
      </c>
      <c r="B111" t="s">
        <v>4</v>
      </c>
      <c r="C111">
        <v>176</v>
      </c>
      <c r="D111">
        <v>65</v>
      </c>
      <c r="E111" t="s">
        <v>5</v>
      </c>
      <c r="F111" t="s">
        <v>11</v>
      </c>
      <c r="G111" t="s">
        <v>8</v>
      </c>
      <c r="H111" t="s">
        <v>44</v>
      </c>
      <c r="I111" t="s">
        <v>14</v>
      </c>
      <c r="J111" t="s">
        <v>23</v>
      </c>
      <c r="K111" t="s">
        <v>98</v>
      </c>
      <c r="L111" t="s">
        <v>24</v>
      </c>
      <c r="M111" t="s">
        <v>14</v>
      </c>
      <c r="N111" t="s">
        <v>15</v>
      </c>
      <c r="O111" t="s">
        <v>16</v>
      </c>
      <c r="P111" t="s">
        <v>99</v>
      </c>
      <c r="Q111" t="s">
        <v>44</v>
      </c>
      <c r="R111" s="1">
        <v>27.12031558</v>
      </c>
    </row>
    <row r="112" spans="1:18" x14ac:dyDescent="0.25">
      <c r="A112" t="s">
        <v>97</v>
      </c>
      <c r="B112" t="s">
        <v>4</v>
      </c>
      <c r="C112">
        <v>176</v>
      </c>
      <c r="D112">
        <v>67</v>
      </c>
      <c r="E112" t="s">
        <v>5</v>
      </c>
      <c r="F112" t="s">
        <v>11</v>
      </c>
      <c r="G112" t="s">
        <v>8</v>
      </c>
      <c r="H112" t="s">
        <v>44</v>
      </c>
      <c r="I112" t="s">
        <v>14</v>
      </c>
      <c r="J112" t="s">
        <v>23</v>
      </c>
      <c r="K112" t="s">
        <v>98</v>
      </c>
      <c r="L112" t="s">
        <v>24</v>
      </c>
      <c r="M112" t="s">
        <v>14</v>
      </c>
      <c r="N112" t="s">
        <v>15</v>
      </c>
      <c r="O112" t="s">
        <v>16</v>
      </c>
      <c r="P112" t="s">
        <v>99</v>
      </c>
      <c r="Q112" t="s">
        <v>44</v>
      </c>
      <c r="R112" s="1">
        <v>26.29848784</v>
      </c>
    </row>
    <row r="113" spans="1:18" x14ac:dyDescent="0.25">
      <c r="A113" t="s">
        <v>101</v>
      </c>
      <c r="B113" t="s">
        <v>36</v>
      </c>
      <c r="C113">
        <v>154</v>
      </c>
      <c r="D113">
        <v>34</v>
      </c>
      <c r="E113" t="s">
        <v>5</v>
      </c>
      <c r="F113" t="s">
        <v>44</v>
      </c>
      <c r="G113" t="s">
        <v>8</v>
      </c>
      <c r="H113" t="s">
        <v>44</v>
      </c>
      <c r="I113" t="s">
        <v>14</v>
      </c>
      <c r="J113" t="s">
        <v>23</v>
      </c>
      <c r="K113" t="s">
        <v>12</v>
      </c>
      <c r="L113" t="s">
        <v>19</v>
      </c>
      <c r="M113" t="s">
        <v>37</v>
      </c>
      <c r="N113" t="s">
        <v>38</v>
      </c>
      <c r="O113" t="s">
        <v>55</v>
      </c>
      <c r="P113" t="s">
        <v>17</v>
      </c>
      <c r="Q113" t="s">
        <v>26</v>
      </c>
      <c r="R113" s="1">
        <v>14.33631304</v>
      </c>
    </row>
    <row r="114" spans="1:18" x14ac:dyDescent="0.25">
      <c r="A114" t="s">
        <v>101</v>
      </c>
      <c r="B114" t="s">
        <v>4</v>
      </c>
      <c r="C114">
        <v>178</v>
      </c>
      <c r="D114">
        <v>90</v>
      </c>
      <c r="E114" t="s">
        <v>5</v>
      </c>
      <c r="F114" t="s">
        <v>44</v>
      </c>
      <c r="G114" t="s">
        <v>19</v>
      </c>
      <c r="H114" t="s">
        <v>44</v>
      </c>
      <c r="I114" t="s">
        <v>22</v>
      </c>
      <c r="J114" t="s">
        <v>23</v>
      </c>
      <c r="K114" t="s">
        <v>12</v>
      </c>
      <c r="L114" t="s">
        <v>19</v>
      </c>
      <c r="M114" t="s">
        <v>37</v>
      </c>
      <c r="N114" t="s">
        <v>38</v>
      </c>
      <c r="O114" t="s">
        <v>16</v>
      </c>
      <c r="P114" t="s">
        <v>25</v>
      </c>
      <c r="Q114" t="s">
        <v>26</v>
      </c>
      <c r="R114" s="1">
        <v>28.405504359999998</v>
      </c>
    </row>
    <row r="115" spans="1:18" x14ac:dyDescent="0.25">
      <c r="A115" t="s">
        <v>101</v>
      </c>
      <c r="B115" t="s">
        <v>4</v>
      </c>
      <c r="C115">
        <v>168</v>
      </c>
      <c r="D115">
        <v>56</v>
      </c>
      <c r="E115" t="s">
        <v>54</v>
      </c>
      <c r="F115" t="s">
        <v>44</v>
      </c>
      <c r="G115" t="s">
        <v>20</v>
      </c>
      <c r="H115" t="s">
        <v>44</v>
      </c>
      <c r="I115" t="s">
        <v>22</v>
      </c>
      <c r="J115" t="s">
        <v>23</v>
      </c>
      <c r="K115" t="s">
        <v>50</v>
      </c>
      <c r="L115" t="s">
        <v>19</v>
      </c>
      <c r="M115" t="s">
        <v>45</v>
      </c>
      <c r="N115" t="s">
        <v>15</v>
      </c>
      <c r="O115" t="s">
        <v>16</v>
      </c>
      <c r="P115" t="s">
        <v>49</v>
      </c>
      <c r="Q115" t="s">
        <v>26</v>
      </c>
      <c r="R115" s="1">
        <v>24.489795919999999</v>
      </c>
    </row>
    <row r="116" spans="1:18" x14ac:dyDescent="0.25">
      <c r="A116" t="s">
        <v>101</v>
      </c>
      <c r="B116" t="s">
        <v>4</v>
      </c>
      <c r="C116">
        <v>176</v>
      </c>
      <c r="D116">
        <v>89</v>
      </c>
      <c r="E116" t="s">
        <v>5</v>
      </c>
      <c r="F116" t="s">
        <v>7</v>
      </c>
      <c r="G116" t="s">
        <v>8</v>
      </c>
      <c r="H116" t="s">
        <v>21</v>
      </c>
      <c r="I116" t="s">
        <v>14</v>
      </c>
      <c r="J116" t="s">
        <v>11</v>
      </c>
      <c r="K116" t="s">
        <v>12</v>
      </c>
      <c r="L116" t="s">
        <v>13</v>
      </c>
      <c r="M116" t="s">
        <v>102</v>
      </c>
      <c r="N116" t="s">
        <v>38</v>
      </c>
      <c r="O116" t="s">
        <v>55</v>
      </c>
      <c r="P116" t="s">
        <v>29</v>
      </c>
      <c r="Q116" t="s">
        <v>18</v>
      </c>
      <c r="R116" s="1">
        <v>22.309356409999999</v>
      </c>
    </row>
    <row r="117" spans="1:18" x14ac:dyDescent="0.25">
      <c r="A117" t="s">
        <v>101</v>
      </c>
      <c r="B117" t="s">
        <v>4</v>
      </c>
      <c r="C117">
        <v>166</v>
      </c>
      <c r="D117">
        <v>78</v>
      </c>
      <c r="E117" t="s">
        <v>5</v>
      </c>
      <c r="F117" t="s">
        <v>7</v>
      </c>
      <c r="G117" t="s">
        <v>8</v>
      </c>
      <c r="H117" t="s">
        <v>21</v>
      </c>
      <c r="I117" t="s">
        <v>14</v>
      </c>
      <c r="J117" t="s">
        <v>11</v>
      </c>
      <c r="K117" t="s">
        <v>12</v>
      </c>
      <c r="L117" t="s">
        <v>13</v>
      </c>
      <c r="M117" t="s">
        <v>102</v>
      </c>
      <c r="N117" t="s">
        <v>38</v>
      </c>
      <c r="O117" t="s">
        <v>55</v>
      </c>
      <c r="P117" t="s">
        <v>29</v>
      </c>
      <c r="Q117" t="s">
        <v>18</v>
      </c>
      <c r="R117" s="1">
        <v>22.53061224</v>
      </c>
    </row>
    <row r="118" spans="1:18" x14ac:dyDescent="0.25">
      <c r="A118" t="s">
        <v>104</v>
      </c>
      <c r="B118" t="s">
        <v>4</v>
      </c>
      <c r="C118">
        <v>155</v>
      </c>
      <c r="D118">
        <v>49</v>
      </c>
      <c r="E118" t="s">
        <v>5</v>
      </c>
      <c r="F118" t="s">
        <v>19</v>
      </c>
      <c r="G118" t="s">
        <v>19</v>
      </c>
      <c r="H118" t="s">
        <v>9</v>
      </c>
      <c r="I118" t="s">
        <v>125</v>
      </c>
      <c r="J118" t="s">
        <v>11</v>
      </c>
      <c r="K118" t="s">
        <v>62</v>
      </c>
      <c r="L118" t="s">
        <v>24</v>
      </c>
      <c r="M118" t="s">
        <v>45</v>
      </c>
      <c r="N118" t="s">
        <v>46</v>
      </c>
      <c r="O118" t="s">
        <v>55</v>
      </c>
      <c r="P118" t="s">
        <v>25</v>
      </c>
      <c r="Q118" t="s">
        <v>26</v>
      </c>
      <c r="R118" s="1">
        <v>20.39542144</v>
      </c>
    </row>
    <row r="119" spans="1:18" x14ac:dyDescent="0.25">
      <c r="A119" t="s">
        <v>104</v>
      </c>
      <c r="B119" t="s">
        <v>4</v>
      </c>
      <c r="C119">
        <v>156</v>
      </c>
      <c r="D119">
        <v>58</v>
      </c>
      <c r="E119" t="s">
        <v>5</v>
      </c>
      <c r="F119" t="s">
        <v>6</v>
      </c>
      <c r="G119" t="s">
        <v>11</v>
      </c>
      <c r="H119" t="s">
        <v>21</v>
      </c>
      <c r="I119" t="s">
        <v>124</v>
      </c>
      <c r="J119" t="s">
        <v>11</v>
      </c>
      <c r="K119" t="s">
        <v>12</v>
      </c>
      <c r="L119" t="s">
        <v>13</v>
      </c>
      <c r="M119" t="s">
        <v>37</v>
      </c>
      <c r="N119" t="s">
        <v>65</v>
      </c>
      <c r="O119" t="s">
        <v>55</v>
      </c>
      <c r="P119" t="s">
        <v>17</v>
      </c>
      <c r="Q119" t="s">
        <v>26</v>
      </c>
      <c r="R119" s="1">
        <v>23.833004599999999</v>
      </c>
    </row>
    <row r="120" spans="1:18" x14ac:dyDescent="0.25">
      <c r="A120" t="s">
        <v>104</v>
      </c>
      <c r="B120" t="s">
        <v>4</v>
      </c>
      <c r="C120">
        <v>156</v>
      </c>
      <c r="D120">
        <v>43</v>
      </c>
      <c r="E120" t="s">
        <v>5</v>
      </c>
      <c r="F120" t="s">
        <v>19</v>
      </c>
      <c r="G120" t="s">
        <v>19</v>
      </c>
      <c r="H120" t="s">
        <v>9</v>
      </c>
      <c r="I120" t="s">
        <v>22</v>
      </c>
      <c r="J120" t="s">
        <v>23</v>
      </c>
      <c r="K120" t="s">
        <v>62</v>
      </c>
      <c r="L120" t="s">
        <v>19</v>
      </c>
      <c r="M120" t="s">
        <v>37</v>
      </c>
      <c r="N120" t="s">
        <v>38</v>
      </c>
      <c r="O120" t="s">
        <v>16</v>
      </c>
      <c r="P120" t="s">
        <v>48</v>
      </c>
      <c r="Q120" t="s">
        <v>26</v>
      </c>
      <c r="R120" s="1">
        <v>17.66929652</v>
      </c>
    </row>
    <row r="121" spans="1:18" x14ac:dyDescent="0.25">
      <c r="A121" t="s">
        <v>104</v>
      </c>
      <c r="B121" t="s">
        <v>4</v>
      </c>
      <c r="C121">
        <v>156</v>
      </c>
      <c r="D121">
        <v>42</v>
      </c>
      <c r="E121" t="s">
        <v>54</v>
      </c>
      <c r="F121" t="s">
        <v>7</v>
      </c>
      <c r="G121" t="s">
        <v>11</v>
      </c>
      <c r="H121" t="s">
        <v>21</v>
      </c>
      <c r="I121" t="s">
        <v>138</v>
      </c>
      <c r="J121" t="s">
        <v>11</v>
      </c>
      <c r="K121" t="s">
        <v>62</v>
      </c>
      <c r="L121" t="s">
        <v>13</v>
      </c>
      <c r="M121" t="s">
        <v>14</v>
      </c>
      <c r="N121" t="s">
        <v>15</v>
      </c>
      <c r="O121" t="s">
        <v>16</v>
      </c>
      <c r="P121" t="s">
        <v>17</v>
      </c>
      <c r="Q121" t="s">
        <v>26</v>
      </c>
      <c r="R121" s="1">
        <v>17.258382640000001</v>
      </c>
    </row>
    <row r="122" spans="1:18" x14ac:dyDescent="0.25">
      <c r="A122" t="s">
        <v>104</v>
      </c>
      <c r="B122" t="s">
        <v>4</v>
      </c>
      <c r="C122">
        <v>147</v>
      </c>
      <c r="D122">
        <v>35</v>
      </c>
      <c r="E122" t="s">
        <v>54</v>
      </c>
      <c r="F122" t="s">
        <v>19</v>
      </c>
      <c r="G122" t="s">
        <v>8</v>
      </c>
      <c r="H122" t="s">
        <v>9</v>
      </c>
      <c r="I122" t="s">
        <v>139</v>
      </c>
      <c r="J122" t="s">
        <v>23</v>
      </c>
      <c r="K122" t="s">
        <v>62</v>
      </c>
      <c r="L122" t="s">
        <v>19</v>
      </c>
      <c r="M122" t="s">
        <v>45</v>
      </c>
      <c r="N122" t="s">
        <v>15</v>
      </c>
      <c r="O122" t="s">
        <v>16</v>
      </c>
      <c r="P122" t="s">
        <v>25</v>
      </c>
      <c r="Q122" t="s">
        <v>26</v>
      </c>
      <c r="R122" s="1">
        <v>31.020408159999999</v>
      </c>
    </row>
    <row r="123" spans="1:18" x14ac:dyDescent="0.25">
      <c r="A123" t="s">
        <v>104</v>
      </c>
      <c r="B123" t="s">
        <v>4</v>
      </c>
      <c r="C123">
        <v>174</v>
      </c>
      <c r="D123">
        <v>53</v>
      </c>
      <c r="E123" t="s">
        <v>66</v>
      </c>
      <c r="F123" t="s">
        <v>7</v>
      </c>
      <c r="G123" t="s">
        <v>20</v>
      </c>
      <c r="H123" t="s">
        <v>40</v>
      </c>
      <c r="I123" t="s">
        <v>127</v>
      </c>
      <c r="J123" t="s">
        <v>23</v>
      </c>
      <c r="K123" t="s">
        <v>12</v>
      </c>
      <c r="L123" t="s">
        <v>32</v>
      </c>
      <c r="M123" t="s">
        <v>64</v>
      </c>
      <c r="N123" t="s">
        <v>38</v>
      </c>
      <c r="O123" t="s">
        <v>34</v>
      </c>
      <c r="P123" t="s">
        <v>17</v>
      </c>
      <c r="Q123" t="s">
        <v>18</v>
      </c>
      <c r="R123" s="1">
        <v>20.195092209999999</v>
      </c>
    </row>
    <row r="124" spans="1:18" x14ac:dyDescent="0.25">
      <c r="A124" t="s">
        <v>104</v>
      </c>
      <c r="B124" t="s">
        <v>4</v>
      </c>
      <c r="C124">
        <v>153</v>
      </c>
      <c r="D124">
        <v>53</v>
      </c>
      <c r="E124" t="s">
        <v>5</v>
      </c>
      <c r="F124" t="s">
        <v>6</v>
      </c>
      <c r="G124" t="s">
        <v>44</v>
      </c>
      <c r="H124" t="s">
        <v>9</v>
      </c>
      <c r="I124" t="s">
        <v>105</v>
      </c>
      <c r="J124" t="s">
        <v>43</v>
      </c>
      <c r="K124" t="s">
        <v>14</v>
      </c>
      <c r="L124" t="s">
        <v>44</v>
      </c>
      <c r="M124" t="s">
        <v>47</v>
      </c>
      <c r="N124" t="s">
        <v>15</v>
      </c>
      <c r="O124" t="s">
        <v>16</v>
      </c>
      <c r="P124" t="s">
        <v>14</v>
      </c>
      <c r="Q124" t="s">
        <v>26</v>
      </c>
      <c r="R124" s="1">
        <v>22.92097107</v>
      </c>
    </row>
    <row r="125" spans="1:18" x14ac:dyDescent="0.25">
      <c r="A125" t="s">
        <v>104</v>
      </c>
      <c r="B125" t="s">
        <v>4</v>
      </c>
      <c r="C125">
        <v>150</v>
      </c>
      <c r="D125">
        <v>55</v>
      </c>
      <c r="E125" t="s">
        <v>54</v>
      </c>
      <c r="F125" t="s">
        <v>7</v>
      </c>
      <c r="G125" t="s">
        <v>8</v>
      </c>
      <c r="H125" t="s">
        <v>72</v>
      </c>
      <c r="I125" t="s">
        <v>69</v>
      </c>
      <c r="J125" t="s">
        <v>11</v>
      </c>
      <c r="K125" t="s">
        <v>62</v>
      </c>
      <c r="L125" t="s">
        <v>13</v>
      </c>
      <c r="M125" t="s">
        <v>14</v>
      </c>
      <c r="N125" t="s">
        <v>15</v>
      </c>
      <c r="O125" t="s">
        <v>34</v>
      </c>
      <c r="P125" t="s">
        <v>14</v>
      </c>
      <c r="Q125" t="s">
        <v>42</v>
      </c>
      <c r="R125" s="1">
        <v>19.047004130000001</v>
      </c>
    </row>
    <row r="126" spans="1:18" x14ac:dyDescent="0.25">
      <c r="A126" t="s">
        <v>104</v>
      </c>
      <c r="B126" t="s">
        <v>36</v>
      </c>
      <c r="C126">
        <v>154</v>
      </c>
      <c r="D126">
        <v>61</v>
      </c>
      <c r="E126" t="s">
        <v>54</v>
      </c>
      <c r="F126" t="s">
        <v>7</v>
      </c>
      <c r="G126" t="s">
        <v>8</v>
      </c>
      <c r="H126" t="s">
        <v>72</v>
      </c>
      <c r="I126" t="s">
        <v>22</v>
      </c>
      <c r="J126" t="s">
        <v>11</v>
      </c>
      <c r="K126" t="s">
        <v>74</v>
      </c>
      <c r="L126" t="s">
        <v>13</v>
      </c>
      <c r="M126" t="s">
        <v>45</v>
      </c>
      <c r="N126" t="s">
        <v>15</v>
      </c>
      <c r="O126" t="s">
        <v>34</v>
      </c>
      <c r="P126" t="s">
        <v>48</v>
      </c>
      <c r="Q126" t="s">
        <v>26</v>
      </c>
      <c r="R126" s="1">
        <v>26.233555800000001</v>
      </c>
    </row>
    <row r="127" spans="1:18" x14ac:dyDescent="0.25">
      <c r="A127" t="s">
        <v>104</v>
      </c>
      <c r="B127" t="s">
        <v>4</v>
      </c>
      <c r="C127">
        <v>154</v>
      </c>
      <c r="D127">
        <v>52</v>
      </c>
      <c r="E127" t="s">
        <v>54</v>
      </c>
      <c r="F127" t="s">
        <v>7</v>
      </c>
      <c r="G127" t="s">
        <v>8</v>
      </c>
      <c r="H127" t="s">
        <v>72</v>
      </c>
      <c r="I127" t="s">
        <v>69</v>
      </c>
      <c r="J127" t="s">
        <v>11</v>
      </c>
      <c r="K127" t="s">
        <v>62</v>
      </c>
      <c r="L127" t="s">
        <v>13</v>
      </c>
      <c r="M127" t="s">
        <v>14</v>
      </c>
      <c r="N127" t="s">
        <v>15</v>
      </c>
      <c r="O127" t="s">
        <v>34</v>
      </c>
      <c r="P127" t="s">
        <v>14</v>
      </c>
      <c r="Q127" t="s">
        <v>42</v>
      </c>
      <c r="R127" s="1">
        <v>20.549886619999999</v>
      </c>
    </row>
    <row r="128" spans="1:18" x14ac:dyDescent="0.25">
      <c r="A128" t="s">
        <v>104</v>
      </c>
      <c r="B128" t="s">
        <v>4</v>
      </c>
      <c r="C128">
        <v>151</v>
      </c>
      <c r="D128">
        <v>49</v>
      </c>
      <c r="E128" t="s">
        <v>5</v>
      </c>
      <c r="F128" t="s">
        <v>6</v>
      </c>
      <c r="G128" t="s">
        <v>44</v>
      </c>
      <c r="H128" t="s">
        <v>9</v>
      </c>
      <c r="I128" t="s">
        <v>105</v>
      </c>
      <c r="J128" t="s">
        <v>43</v>
      </c>
      <c r="K128" t="s">
        <v>14</v>
      </c>
      <c r="L128" t="s">
        <v>44</v>
      </c>
      <c r="M128" t="s">
        <v>47</v>
      </c>
      <c r="N128" t="s">
        <v>15</v>
      </c>
      <c r="O128" t="s">
        <v>16</v>
      </c>
      <c r="P128" t="s">
        <v>14</v>
      </c>
      <c r="Q128" t="s">
        <v>26</v>
      </c>
      <c r="R128" s="1">
        <v>21.877551019999999</v>
      </c>
    </row>
    <row r="129" spans="1:18" x14ac:dyDescent="0.25">
      <c r="A129" t="s">
        <v>104</v>
      </c>
      <c r="B129" t="s">
        <v>4</v>
      </c>
      <c r="C129">
        <v>154</v>
      </c>
      <c r="D129">
        <v>64</v>
      </c>
      <c r="E129" t="s">
        <v>54</v>
      </c>
      <c r="F129" t="s">
        <v>7</v>
      </c>
      <c r="G129" t="s">
        <v>8</v>
      </c>
      <c r="H129" t="s">
        <v>72</v>
      </c>
      <c r="I129" t="s">
        <v>22</v>
      </c>
      <c r="J129" t="s">
        <v>11</v>
      </c>
      <c r="K129" t="s">
        <v>74</v>
      </c>
      <c r="L129" t="s">
        <v>13</v>
      </c>
      <c r="M129" t="s">
        <v>45</v>
      </c>
      <c r="N129" t="s">
        <v>15</v>
      </c>
      <c r="O129" t="s">
        <v>34</v>
      </c>
      <c r="P129" t="s">
        <v>48</v>
      </c>
      <c r="Q129" t="s">
        <v>26</v>
      </c>
      <c r="R129" s="1">
        <v>25.593737059999999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F2152-336A-4367-9E89-57A36A5467A6}">
  <sheetPr codeName="Sheet3"/>
  <dimension ref="A1:T129"/>
  <sheetViews>
    <sheetView workbookViewId="0">
      <selection activeCell="P30" sqref="P29:P30"/>
    </sheetView>
  </sheetViews>
  <sheetFormatPr defaultRowHeight="15" x14ac:dyDescent="0.25"/>
  <cols>
    <col min="1" max="1" width="12.7109375" bestFit="1" customWidth="1"/>
    <col min="2" max="2" width="10" bestFit="1" customWidth="1"/>
    <col min="3" max="3" width="15.42578125" bestFit="1" customWidth="1"/>
    <col min="4" max="4" width="15.5703125" bestFit="1" customWidth="1"/>
    <col min="5" max="5" width="15" bestFit="1" customWidth="1"/>
    <col min="6" max="6" width="24.7109375" bestFit="1" customWidth="1"/>
    <col min="7" max="7" width="43.140625" bestFit="1" customWidth="1"/>
    <col min="8" max="8" width="33.5703125" bestFit="1" customWidth="1"/>
    <col min="9" max="9" width="57" bestFit="1" customWidth="1"/>
    <col min="10" max="10" width="25.42578125" bestFit="1" customWidth="1"/>
    <col min="11" max="11" width="47.42578125" bestFit="1" customWidth="1"/>
    <col min="12" max="12" width="27.140625" bestFit="1" customWidth="1"/>
    <col min="13" max="13" width="81.140625" bestFit="1" customWidth="1"/>
    <col min="14" max="14" width="16.42578125" bestFit="1" customWidth="1"/>
    <col min="15" max="15" width="23.7109375" bestFit="1" customWidth="1"/>
    <col min="16" max="16" width="57.140625" bestFit="1" customWidth="1"/>
    <col min="17" max="17" width="29.7109375" bestFit="1" customWidth="1"/>
    <col min="18" max="18" width="6.85546875" bestFit="1" customWidth="1"/>
    <col min="19" max="20" width="15.85546875" bestFit="1" customWidth="1"/>
  </cols>
  <sheetData>
    <row r="1" spans="1:20" x14ac:dyDescent="0.25">
      <c r="A1" t="s">
        <v>142</v>
      </c>
      <c r="B1" t="s">
        <v>143</v>
      </c>
      <c r="C1" t="s">
        <v>0</v>
      </c>
      <c r="D1" t="s">
        <v>1</v>
      </c>
      <c r="E1" t="s">
        <v>144</v>
      </c>
      <c r="F1" t="s">
        <v>145</v>
      </c>
      <c r="G1" t="s">
        <v>146</v>
      </c>
      <c r="H1" t="s">
        <v>119</v>
      </c>
      <c r="I1" t="s">
        <v>110</v>
      </c>
      <c r="J1" t="s">
        <v>120</v>
      </c>
      <c r="K1" t="s">
        <v>111</v>
      </c>
      <c r="L1" t="s">
        <v>147</v>
      </c>
      <c r="M1" t="s">
        <v>113</v>
      </c>
      <c r="N1" t="s">
        <v>114</v>
      </c>
      <c r="O1" t="s">
        <v>115</v>
      </c>
      <c r="P1" t="s">
        <v>148</v>
      </c>
      <c r="Q1" t="s">
        <v>149</v>
      </c>
      <c r="R1" t="s">
        <v>2</v>
      </c>
      <c r="S1" t="s">
        <v>150</v>
      </c>
      <c r="T1" t="s">
        <v>151</v>
      </c>
    </row>
    <row r="2" spans="1:20" x14ac:dyDescent="0.25">
      <c r="A2" t="s">
        <v>3</v>
      </c>
      <c r="B2" t="s">
        <v>4</v>
      </c>
      <c r="C2">
        <v>178</v>
      </c>
      <c r="D2">
        <v>60</v>
      </c>
      <c r="E2" t="s">
        <v>5</v>
      </c>
      <c r="F2" t="s">
        <v>11</v>
      </c>
      <c r="G2" t="s">
        <v>20</v>
      </c>
      <c r="H2" t="s">
        <v>21</v>
      </c>
      <c r="I2" t="s">
        <v>22</v>
      </c>
      <c r="J2" t="s">
        <v>23</v>
      </c>
      <c r="K2" t="s">
        <v>12</v>
      </c>
      <c r="L2" t="s">
        <v>24</v>
      </c>
      <c r="M2" t="s">
        <v>14</v>
      </c>
      <c r="N2" t="s">
        <v>15</v>
      </c>
      <c r="O2" t="s">
        <v>16</v>
      </c>
      <c r="P2" t="s">
        <v>25</v>
      </c>
      <c r="Q2" t="s">
        <v>26</v>
      </c>
      <c r="R2">
        <v>18.940000000000001</v>
      </c>
      <c r="S2" t="s">
        <v>152</v>
      </c>
      <c r="T2" t="s">
        <v>153</v>
      </c>
    </row>
    <row r="3" spans="1:20" x14ac:dyDescent="0.25">
      <c r="A3" t="s">
        <v>3</v>
      </c>
      <c r="B3" t="s">
        <v>4</v>
      </c>
      <c r="C3">
        <v>176</v>
      </c>
      <c r="D3">
        <v>60</v>
      </c>
      <c r="E3" t="s">
        <v>5</v>
      </c>
      <c r="F3" t="s">
        <v>7</v>
      </c>
      <c r="G3" t="s">
        <v>8</v>
      </c>
      <c r="H3" t="s">
        <v>21</v>
      </c>
      <c r="I3" t="s">
        <v>14</v>
      </c>
      <c r="J3" t="s">
        <v>23</v>
      </c>
      <c r="K3" t="s">
        <v>28</v>
      </c>
      <c r="L3" t="s">
        <v>13</v>
      </c>
      <c r="M3" t="s">
        <v>14</v>
      </c>
      <c r="N3" t="s">
        <v>15</v>
      </c>
      <c r="O3" t="s">
        <v>16</v>
      </c>
      <c r="P3" t="s">
        <v>29</v>
      </c>
      <c r="Q3" t="s">
        <v>26</v>
      </c>
      <c r="R3">
        <v>19.37</v>
      </c>
      <c r="S3" t="s">
        <v>152</v>
      </c>
      <c r="T3" t="s">
        <v>154</v>
      </c>
    </row>
    <row r="4" spans="1:20" x14ac:dyDescent="0.25">
      <c r="A4" t="s">
        <v>3</v>
      </c>
      <c r="B4" t="s">
        <v>4</v>
      </c>
      <c r="C4">
        <v>156</v>
      </c>
      <c r="D4">
        <v>40</v>
      </c>
      <c r="E4" t="s">
        <v>5</v>
      </c>
      <c r="F4" t="s">
        <v>11</v>
      </c>
      <c r="G4" t="s">
        <v>20</v>
      </c>
      <c r="H4" t="s">
        <v>9</v>
      </c>
      <c r="I4" t="s">
        <v>155</v>
      </c>
      <c r="J4" t="s">
        <v>43</v>
      </c>
      <c r="K4" t="s">
        <v>14</v>
      </c>
      <c r="L4" t="s">
        <v>44</v>
      </c>
      <c r="M4" t="s">
        <v>45</v>
      </c>
      <c r="N4" t="s">
        <v>46</v>
      </c>
      <c r="O4" t="s">
        <v>16</v>
      </c>
      <c r="P4" t="s">
        <v>17</v>
      </c>
      <c r="Q4" t="s">
        <v>26</v>
      </c>
      <c r="R4">
        <v>16.440000000000001</v>
      </c>
      <c r="S4" t="s">
        <v>156</v>
      </c>
      <c r="T4" t="s">
        <v>154</v>
      </c>
    </row>
    <row r="5" spans="1:20" x14ac:dyDescent="0.25">
      <c r="A5" t="s">
        <v>3</v>
      </c>
      <c r="B5" t="s">
        <v>36</v>
      </c>
      <c r="C5">
        <v>156</v>
      </c>
      <c r="D5">
        <v>40</v>
      </c>
      <c r="E5" t="s">
        <v>5</v>
      </c>
      <c r="F5" t="s">
        <v>7</v>
      </c>
      <c r="G5" t="s">
        <v>20</v>
      </c>
      <c r="H5" t="s">
        <v>9</v>
      </c>
      <c r="I5" t="s">
        <v>155</v>
      </c>
      <c r="J5" t="s">
        <v>43</v>
      </c>
      <c r="K5" t="s">
        <v>14</v>
      </c>
      <c r="L5" t="s">
        <v>44</v>
      </c>
      <c r="M5" t="s">
        <v>47</v>
      </c>
      <c r="N5" t="s">
        <v>15</v>
      </c>
      <c r="O5" t="s">
        <v>16</v>
      </c>
      <c r="P5" t="s">
        <v>48</v>
      </c>
      <c r="Q5" t="s">
        <v>26</v>
      </c>
      <c r="R5">
        <v>16.440000000000001</v>
      </c>
      <c r="S5" t="s">
        <v>156</v>
      </c>
      <c r="T5" t="s">
        <v>154</v>
      </c>
    </row>
    <row r="6" spans="1:20" x14ac:dyDescent="0.25">
      <c r="A6" t="s">
        <v>3</v>
      </c>
      <c r="B6" t="s">
        <v>36</v>
      </c>
      <c r="C6">
        <v>165</v>
      </c>
      <c r="D6">
        <v>70</v>
      </c>
      <c r="E6" t="s">
        <v>5</v>
      </c>
      <c r="F6" t="s">
        <v>6</v>
      </c>
      <c r="G6" t="s">
        <v>20</v>
      </c>
      <c r="H6" t="s">
        <v>9</v>
      </c>
      <c r="I6" t="s">
        <v>155</v>
      </c>
      <c r="J6" t="s">
        <v>43</v>
      </c>
      <c r="K6" t="s">
        <v>14</v>
      </c>
      <c r="L6" t="s">
        <v>44</v>
      </c>
      <c r="M6" t="s">
        <v>45</v>
      </c>
      <c r="N6" t="s">
        <v>15</v>
      </c>
      <c r="O6" t="s">
        <v>16</v>
      </c>
      <c r="P6" t="s">
        <v>49</v>
      </c>
      <c r="Q6" t="s">
        <v>26</v>
      </c>
      <c r="R6">
        <v>25.71</v>
      </c>
      <c r="S6" t="s">
        <v>157</v>
      </c>
      <c r="T6" t="s">
        <v>154</v>
      </c>
    </row>
    <row r="7" spans="1:20" x14ac:dyDescent="0.25">
      <c r="A7" t="s">
        <v>3</v>
      </c>
      <c r="B7" t="s">
        <v>36</v>
      </c>
      <c r="C7">
        <v>165</v>
      </c>
      <c r="D7">
        <v>68</v>
      </c>
      <c r="E7" t="s">
        <v>5</v>
      </c>
      <c r="F7" t="s">
        <v>6</v>
      </c>
      <c r="G7" t="s">
        <v>20</v>
      </c>
      <c r="H7" t="s">
        <v>9</v>
      </c>
      <c r="I7" t="s">
        <v>155</v>
      </c>
      <c r="J7" t="s">
        <v>23</v>
      </c>
      <c r="K7" t="s">
        <v>50</v>
      </c>
      <c r="L7" t="s">
        <v>32</v>
      </c>
      <c r="M7" t="s">
        <v>51</v>
      </c>
      <c r="N7" t="s">
        <v>15</v>
      </c>
      <c r="O7" t="s">
        <v>16</v>
      </c>
      <c r="P7" t="s">
        <v>25</v>
      </c>
      <c r="Q7" t="s">
        <v>26</v>
      </c>
      <c r="R7">
        <v>24.98</v>
      </c>
      <c r="S7" t="s">
        <v>152</v>
      </c>
      <c r="T7" t="s">
        <v>153</v>
      </c>
    </row>
    <row r="8" spans="1:20" x14ac:dyDescent="0.25">
      <c r="A8" t="s">
        <v>3</v>
      </c>
      <c r="B8" t="s">
        <v>36</v>
      </c>
      <c r="C8">
        <v>167</v>
      </c>
      <c r="D8">
        <v>57</v>
      </c>
      <c r="E8" t="s">
        <v>5</v>
      </c>
      <c r="F8" t="s">
        <v>11</v>
      </c>
      <c r="G8" t="s">
        <v>20</v>
      </c>
      <c r="H8" t="s">
        <v>44</v>
      </c>
      <c r="I8" t="s">
        <v>22</v>
      </c>
      <c r="J8" t="s">
        <v>23</v>
      </c>
      <c r="K8" t="s">
        <v>52</v>
      </c>
      <c r="L8" t="s">
        <v>19</v>
      </c>
      <c r="M8" t="s">
        <v>53</v>
      </c>
      <c r="N8" t="s">
        <v>46</v>
      </c>
      <c r="O8" t="s">
        <v>16</v>
      </c>
      <c r="P8" t="s">
        <v>25</v>
      </c>
      <c r="Q8" t="s">
        <v>26</v>
      </c>
      <c r="R8">
        <v>20.440000000000001</v>
      </c>
      <c r="S8" t="s">
        <v>152</v>
      </c>
      <c r="T8" t="s">
        <v>153</v>
      </c>
    </row>
    <row r="9" spans="1:20" x14ac:dyDescent="0.25">
      <c r="A9" t="s">
        <v>3</v>
      </c>
      <c r="B9" t="s">
        <v>4</v>
      </c>
      <c r="C9">
        <v>170</v>
      </c>
      <c r="D9">
        <v>55</v>
      </c>
      <c r="E9" t="s">
        <v>5</v>
      </c>
      <c r="F9" t="s">
        <v>11</v>
      </c>
      <c r="G9" t="s">
        <v>20</v>
      </c>
      <c r="H9" t="s">
        <v>30</v>
      </c>
      <c r="I9" t="s">
        <v>22</v>
      </c>
      <c r="J9" t="s">
        <v>23</v>
      </c>
      <c r="K9" t="s">
        <v>52</v>
      </c>
      <c r="L9" t="s">
        <v>19</v>
      </c>
      <c r="M9" t="s">
        <v>14</v>
      </c>
      <c r="N9" t="s">
        <v>46</v>
      </c>
      <c r="O9" t="s">
        <v>16</v>
      </c>
      <c r="P9" t="s">
        <v>25</v>
      </c>
      <c r="Q9" t="s">
        <v>26</v>
      </c>
      <c r="R9">
        <v>19.03</v>
      </c>
      <c r="S9" t="s">
        <v>152</v>
      </c>
      <c r="T9" t="s">
        <v>153</v>
      </c>
    </row>
    <row r="10" spans="1:20" x14ac:dyDescent="0.25">
      <c r="A10" t="s">
        <v>3</v>
      </c>
      <c r="B10" t="s">
        <v>4</v>
      </c>
      <c r="C10">
        <v>175</v>
      </c>
      <c r="D10">
        <v>67</v>
      </c>
      <c r="E10" t="s">
        <v>5</v>
      </c>
      <c r="F10" t="s">
        <v>11</v>
      </c>
      <c r="G10" t="s">
        <v>20</v>
      </c>
      <c r="H10" t="s">
        <v>30</v>
      </c>
      <c r="I10" t="s">
        <v>22</v>
      </c>
      <c r="J10" t="s">
        <v>23</v>
      </c>
      <c r="K10" t="s">
        <v>52</v>
      </c>
      <c r="L10" t="s">
        <v>19</v>
      </c>
      <c r="M10" t="s">
        <v>14</v>
      </c>
      <c r="N10" t="s">
        <v>15</v>
      </c>
      <c r="O10" t="s">
        <v>16</v>
      </c>
      <c r="P10" t="s">
        <v>25</v>
      </c>
      <c r="Q10" t="s">
        <v>26</v>
      </c>
      <c r="R10">
        <v>21.88</v>
      </c>
      <c r="S10" t="s">
        <v>152</v>
      </c>
      <c r="T10" t="s">
        <v>153</v>
      </c>
    </row>
    <row r="11" spans="1:20" x14ac:dyDescent="0.25">
      <c r="A11" t="s">
        <v>3</v>
      </c>
      <c r="B11" t="s">
        <v>4</v>
      </c>
      <c r="C11">
        <v>167</v>
      </c>
      <c r="D11">
        <v>70</v>
      </c>
      <c r="E11" t="s">
        <v>54</v>
      </c>
      <c r="F11" t="s">
        <v>11</v>
      </c>
      <c r="G11" t="s">
        <v>8</v>
      </c>
      <c r="H11" t="s">
        <v>30</v>
      </c>
      <c r="I11" t="s">
        <v>22</v>
      </c>
      <c r="J11" t="s">
        <v>23</v>
      </c>
      <c r="K11" t="s">
        <v>28</v>
      </c>
      <c r="L11" t="s">
        <v>24</v>
      </c>
      <c r="M11" t="s">
        <v>14</v>
      </c>
      <c r="N11" t="s">
        <v>15</v>
      </c>
      <c r="O11" t="s">
        <v>55</v>
      </c>
      <c r="P11" t="s">
        <v>25</v>
      </c>
      <c r="Q11" t="s">
        <v>26</v>
      </c>
      <c r="R11">
        <v>25.1</v>
      </c>
      <c r="S11" t="s">
        <v>157</v>
      </c>
      <c r="T11" t="s">
        <v>153</v>
      </c>
    </row>
    <row r="12" spans="1:20" x14ac:dyDescent="0.25">
      <c r="A12" t="s">
        <v>3</v>
      </c>
      <c r="B12" t="s">
        <v>4</v>
      </c>
      <c r="C12">
        <v>176</v>
      </c>
      <c r="D12">
        <v>88</v>
      </c>
      <c r="E12" t="s">
        <v>54</v>
      </c>
      <c r="F12" t="s">
        <v>7</v>
      </c>
      <c r="G12" t="s">
        <v>19</v>
      </c>
      <c r="H12" t="s">
        <v>30</v>
      </c>
      <c r="I12" t="s">
        <v>134</v>
      </c>
      <c r="J12" t="s">
        <v>23</v>
      </c>
      <c r="K12" t="s">
        <v>28</v>
      </c>
      <c r="L12" t="s">
        <v>19</v>
      </c>
      <c r="M12" t="s">
        <v>14</v>
      </c>
      <c r="N12" t="s">
        <v>15</v>
      </c>
      <c r="O12" t="s">
        <v>16</v>
      </c>
      <c r="P12" t="s">
        <v>17</v>
      </c>
      <c r="Q12" t="s">
        <v>26</v>
      </c>
      <c r="R12">
        <v>28.41</v>
      </c>
      <c r="S12" t="s">
        <v>157</v>
      </c>
      <c r="T12" t="s">
        <v>153</v>
      </c>
    </row>
    <row r="13" spans="1:20" x14ac:dyDescent="0.25">
      <c r="A13" t="s">
        <v>3</v>
      </c>
      <c r="B13" t="s">
        <v>4</v>
      </c>
      <c r="C13">
        <v>165</v>
      </c>
      <c r="D13">
        <v>65</v>
      </c>
      <c r="E13" t="s">
        <v>54</v>
      </c>
      <c r="F13" t="s">
        <v>7</v>
      </c>
      <c r="G13" t="s">
        <v>19</v>
      </c>
      <c r="H13" t="s">
        <v>21</v>
      </c>
      <c r="I13" t="s">
        <v>136</v>
      </c>
      <c r="J13" t="s">
        <v>23</v>
      </c>
      <c r="K13" t="s">
        <v>52</v>
      </c>
      <c r="L13" t="s">
        <v>19</v>
      </c>
      <c r="M13" t="s">
        <v>33</v>
      </c>
      <c r="N13" t="s">
        <v>38</v>
      </c>
      <c r="O13" t="s">
        <v>58</v>
      </c>
      <c r="P13" t="s">
        <v>35</v>
      </c>
      <c r="Q13" t="s">
        <v>26</v>
      </c>
      <c r="R13">
        <v>23.88</v>
      </c>
      <c r="S13" t="s">
        <v>152</v>
      </c>
      <c r="T13" t="s">
        <v>153</v>
      </c>
    </row>
    <row r="14" spans="1:20" x14ac:dyDescent="0.25">
      <c r="A14" t="s">
        <v>3</v>
      </c>
      <c r="B14" t="s">
        <v>4</v>
      </c>
      <c r="C14">
        <v>180</v>
      </c>
      <c r="D14">
        <v>90</v>
      </c>
      <c r="E14" t="s">
        <v>54</v>
      </c>
      <c r="F14" t="s">
        <v>7</v>
      </c>
      <c r="G14" t="s">
        <v>20</v>
      </c>
      <c r="H14" t="s">
        <v>30</v>
      </c>
      <c r="I14" t="s">
        <v>135</v>
      </c>
      <c r="J14" t="s">
        <v>23</v>
      </c>
      <c r="K14" t="s">
        <v>12</v>
      </c>
      <c r="L14" t="s">
        <v>32</v>
      </c>
      <c r="M14" t="s">
        <v>14</v>
      </c>
      <c r="N14" t="s">
        <v>15</v>
      </c>
      <c r="O14" t="s">
        <v>55</v>
      </c>
      <c r="P14" t="s">
        <v>17</v>
      </c>
      <c r="Q14" t="s">
        <v>26</v>
      </c>
      <c r="R14">
        <v>27.78</v>
      </c>
      <c r="S14" t="s">
        <v>157</v>
      </c>
      <c r="T14" t="s">
        <v>153</v>
      </c>
    </row>
    <row r="15" spans="1:20" x14ac:dyDescent="0.25">
      <c r="A15" t="s">
        <v>3</v>
      </c>
      <c r="B15" t="s">
        <v>4</v>
      </c>
      <c r="C15">
        <v>170</v>
      </c>
      <c r="D15">
        <v>56</v>
      </c>
      <c r="E15" t="s">
        <v>54</v>
      </c>
      <c r="F15" t="s">
        <v>11</v>
      </c>
      <c r="G15" t="s">
        <v>20</v>
      </c>
      <c r="H15" t="s">
        <v>21</v>
      </c>
      <c r="I15" t="s">
        <v>22</v>
      </c>
      <c r="J15" t="s">
        <v>43</v>
      </c>
      <c r="K15" t="s">
        <v>14</v>
      </c>
      <c r="L15" t="s">
        <v>44</v>
      </c>
      <c r="M15" t="s">
        <v>47</v>
      </c>
      <c r="N15" t="s">
        <v>15</v>
      </c>
      <c r="O15" t="s">
        <v>55</v>
      </c>
      <c r="P15" t="s">
        <v>48</v>
      </c>
      <c r="Q15" t="s">
        <v>26</v>
      </c>
      <c r="R15">
        <v>19.38</v>
      </c>
      <c r="S15" t="s">
        <v>152</v>
      </c>
      <c r="T15" t="s">
        <v>154</v>
      </c>
    </row>
    <row r="16" spans="1:20" x14ac:dyDescent="0.25">
      <c r="A16" t="s">
        <v>3</v>
      </c>
      <c r="B16" t="s">
        <v>4</v>
      </c>
      <c r="C16">
        <v>184</v>
      </c>
      <c r="D16">
        <v>61</v>
      </c>
      <c r="E16" t="s">
        <v>54</v>
      </c>
      <c r="F16" t="s">
        <v>6</v>
      </c>
      <c r="G16" t="s">
        <v>20</v>
      </c>
      <c r="H16" t="s">
        <v>21</v>
      </c>
      <c r="I16" t="s">
        <v>10</v>
      </c>
      <c r="J16" t="s">
        <v>23</v>
      </c>
      <c r="K16" t="s">
        <v>62</v>
      </c>
      <c r="L16" t="s">
        <v>13</v>
      </c>
      <c r="M16" t="s">
        <v>63</v>
      </c>
      <c r="N16" t="s">
        <v>38</v>
      </c>
      <c r="O16" t="s">
        <v>16</v>
      </c>
      <c r="P16" t="s">
        <v>17</v>
      </c>
      <c r="Q16" t="s">
        <v>26</v>
      </c>
      <c r="R16">
        <v>18.02</v>
      </c>
      <c r="S16" t="s">
        <v>156</v>
      </c>
      <c r="T16" t="s">
        <v>154</v>
      </c>
    </row>
    <row r="17" spans="1:20" x14ac:dyDescent="0.25">
      <c r="A17" t="s">
        <v>3</v>
      </c>
      <c r="B17" t="s">
        <v>4</v>
      </c>
      <c r="C17">
        <v>164</v>
      </c>
      <c r="D17">
        <v>68</v>
      </c>
      <c r="E17" t="s">
        <v>54</v>
      </c>
      <c r="F17" t="s">
        <v>11</v>
      </c>
      <c r="G17" t="s">
        <v>20</v>
      </c>
      <c r="H17" t="s">
        <v>21</v>
      </c>
      <c r="I17" t="s">
        <v>22</v>
      </c>
      <c r="J17" t="s">
        <v>23</v>
      </c>
      <c r="K17" t="s">
        <v>52</v>
      </c>
      <c r="L17" t="s">
        <v>19</v>
      </c>
      <c r="M17" t="s">
        <v>14</v>
      </c>
      <c r="N17" t="s">
        <v>15</v>
      </c>
      <c r="O17" t="s">
        <v>16</v>
      </c>
      <c r="P17" t="s">
        <v>48</v>
      </c>
      <c r="Q17" t="s">
        <v>26</v>
      </c>
      <c r="R17">
        <v>25.28</v>
      </c>
      <c r="S17" t="s">
        <v>157</v>
      </c>
      <c r="T17" t="s">
        <v>153</v>
      </c>
    </row>
    <row r="18" spans="1:20" x14ac:dyDescent="0.25">
      <c r="A18" t="s">
        <v>3</v>
      </c>
      <c r="B18" t="s">
        <v>4</v>
      </c>
      <c r="C18">
        <v>171</v>
      </c>
      <c r="D18">
        <v>65</v>
      </c>
      <c r="E18" t="s">
        <v>54</v>
      </c>
      <c r="F18" t="s">
        <v>11</v>
      </c>
      <c r="G18" t="s">
        <v>20</v>
      </c>
      <c r="H18" t="s">
        <v>21</v>
      </c>
      <c r="I18" t="s">
        <v>137</v>
      </c>
      <c r="J18" t="s">
        <v>23</v>
      </c>
      <c r="K18" t="s">
        <v>52</v>
      </c>
      <c r="L18" t="s">
        <v>19</v>
      </c>
      <c r="M18" t="s">
        <v>14</v>
      </c>
      <c r="N18" t="s">
        <v>46</v>
      </c>
      <c r="O18" t="s">
        <v>16</v>
      </c>
      <c r="P18" t="s">
        <v>49</v>
      </c>
      <c r="Q18" t="s">
        <v>26</v>
      </c>
      <c r="R18">
        <v>22.04</v>
      </c>
      <c r="S18" t="s">
        <v>152</v>
      </c>
      <c r="T18" t="s">
        <v>153</v>
      </c>
    </row>
    <row r="19" spans="1:20" x14ac:dyDescent="0.25">
      <c r="A19" t="s">
        <v>3</v>
      </c>
      <c r="B19" t="s">
        <v>4</v>
      </c>
      <c r="C19">
        <v>175</v>
      </c>
      <c r="D19">
        <v>75</v>
      </c>
      <c r="E19" t="s">
        <v>54</v>
      </c>
      <c r="F19" t="s">
        <v>44</v>
      </c>
      <c r="G19" t="s">
        <v>20</v>
      </c>
      <c r="H19" t="s">
        <v>44</v>
      </c>
      <c r="I19" t="s">
        <v>14</v>
      </c>
      <c r="J19" t="s">
        <v>23</v>
      </c>
      <c r="K19" t="s">
        <v>52</v>
      </c>
      <c r="L19" t="s">
        <v>19</v>
      </c>
      <c r="M19" t="s">
        <v>14</v>
      </c>
      <c r="N19" t="s">
        <v>46</v>
      </c>
      <c r="O19" t="s">
        <v>16</v>
      </c>
      <c r="P19" t="s">
        <v>25</v>
      </c>
      <c r="Q19" t="s">
        <v>26</v>
      </c>
      <c r="R19">
        <v>20.76</v>
      </c>
      <c r="S19" t="s">
        <v>152</v>
      </c>
      <c r="T19" t="s">
        <v>153</v>
      </c>
    </row>
    <row r="20" spans="1:20" x14ac:dyDescent="0.25">
      <c r="A20" t="s">
        <v>3</v>
      </c>
      <c r="B20" t="s">
        <v>4</v>
      </c>
      <c r="C20">
        <v>176</v>
      </c>
      <c r="D20">
        <v>56</v>
      </c>
      <c r="E20" t="s">
        <v>54</v>
      </c>
      <c r="F20" t="s">
        <v>11</v>
      </c>
      <c r="G20" t="s">
        <v>20</v>
      </c>
      <c r="H20" t="s">
        <v>40</v>
      </c>
      <c r="I20" t="s">
        <v>22</v>
      </c>
      <c r="J20" t="s">
        <v>23</v>
      </c>
      <c r="K20" t="s">
        <v>52</v>
      </c>
      <c r="L20" t="s">
        <v>19</v>
      </c>
      <c r="M20" t="s">
        <v>37</v>
      </c>
      <c r="N20" t="s">
        <v>38</v>
      </c>
      <c r="O20" t="s">
        <v>16</v>
      </c>
      <c r="P20" t="s">
        <v>25</v>
      </c>
      <c r="Q20" t="s">
        <v>26</v>
      </c>
      <c r="R20">
        <v>20.57</v>
      </c>
      <c r="S20" t="s">
        <v>152</v>
      </c>
      <c r="T20" t="s">
        <v>153</v>
      </c>
    </row>
    <row r="21" spans="1:20" x14ac:dyDescent="0.25">
      <c r="A21" t="s">
        <v>3</v>
      </c>
      <c r="B21" t="s">
        <v>36</v>
      </c>
      <c r="C21">
        <v>165</v>
      </c>
      <c r="D21">
        <v>56</v>
      </c>
      <c r="E21" t="s">
        <v>54</v>
      </c>
      <c r="F21" t="s">
        <v>6</v>
      </c>
      <c r="G21" t="s">
        <v>20</v>
      </c>
      <c r="H21" t="s">
        <v>40</v>
      </c>
      <c r="I21" t="s">
        <v>22</v>
      </c>
      <c r="J21" t="s">
        <v>23</v>
      </c>
      <c r="K21" t="s">
        <v>62</v>
      </c>
      <c r="L21" t="s">
        <v>32</v>
      </c>
      <c r="M21" t="s">
        <v>45</v>
      </c>
      <c r="N21" t="s">
        <v>15</v>
      </c>
      <c r="O21" t="s">
        <v>16</v>
      </c>
      <c r="P21" t="s">
        <v>48</v>
      </c>
      <c r="Q21" t="s">
        <v>26</v>
      </c>
      <c r="R21">
        <v>20.57</v>
      </c>
      <c r="S21" t="s">
        <v>152</v>
      </c>
      <c r="T21" t="s">
        <v>153</v>
      </c>
    </row>
    <row r="22" spans="1:20" x14ac:dyDescent="0.25">
      <c r="A22" t="s">
        <v>3</v>
      </c>
      <c r="B22" t="s">
        <v>4</v>
      </c>
      <c r="C22">
        <v>168</v>
      </c>
      <c r="D22">
        <v>60</v>
      </c>
      <c r="E22" t="s">
        <v>54</v>
      </c>
      <c r="F22" t="s">
        <v>44</v>
      </c>
      <c r="G22" t="s">
        <v>20</v>
      </c>
      <c r="H22" t="s">
        <v>44</v>
      </c>
      <c r="I22" t="s">
        <v>22</v>
      </c>
      <c r="J22" t="s">
        <v>23</v>
      </c>
      <c r="K22" t="s">
        <v>52</v>
      </c>
      <c r="L22" t="s">
        <v>19</v>
      </c>
      <c r="M22" t="s">
        <v>14</v>
      </c>
      <c r="N22" t="s">
        <v>46</v>
      </c>
      <c r="O22" t="s">
        <v>16</v>
      </c>
      <c r="P22" t="s">
        <v>25</v>
      </c>
      <c r="Q22" t="s">
        <v>26</v>
      </c>
      <c r="R22">
        <v>24.93</v>
      </c>
      <c r="S22" t="s">
        <v>152</v>
      </c>
      <c r="T22" t="s">
        <v>153</v>
      </c>
    </row>
    <row r="23" spans="1:20" x14ac:dyDescent="0.25">
      <c r="A23" t="s">
        <v>3</v>
      </c>
      <c r="B23" t="s">
        <v>4</v>
      </c>
      <c r="C23">
        <v>178</v>
      </c>
      <c r="D23">
        <v>79</v>
      </c>
      <c r="E23" t="s">
        <v>54</v>
      </c>
      <c r="F23" t="s">
        <v>11</v>
      </c>
      <c r="G23" t="s">
        <v>20</v>
      </c>
      <c r="H23" t="s">
        <v>40</v>
      </c>
      <c r="I23" t="s">
        <v>22</v>
      </c>
      <c r="J23" t="s">
        <v>23</v>
      </c>
      <c r="K23" t="s">
        <v>52</v>
      </c>
      <c r="L23" t="s">
        <v>19</v>
      </c>
      <c r="M23" t="s">
        <v>47</v>
      </c>
      <c r="N23" t="s">
        <v>46</v>
      </c>
      <c r="O23" t="s">
        <v>16</v>
      </c>
      <c r="P23" t="s">
        <v>25</v>
      </c>
      <c r="Q23" t="s">
        <v>26</v>
      </c>
      <c r="R23">
        <v>29.74</v>
      </c>
      <c r="S23" t="s">
        <v>157</v>
      </c>
      <c r="T23" t="s">
        <v>153</v>
      </c>
    </row>
    <row r="24" spans="1:20" x14ac:dyDescent="0.25">
      <c r="A24" t="s">
        <v>3</v>
      </c>
      <c r="B24" t="s">
        <v>4</v>
      </c>
      <c r="C24">
        <v>161</v>
      </c>
      <c r="D24">
        <v>57</v>
      </c>
      <c r="E24" t="s">
        <v>54</v>
      </c>
      <c r="F24" t="s">
        <v>11</v>
      </c>
      <c r="G24" t="s">
        <v>20</v>
      </c>
      <c r="H24" t="s">
        <v>72</v>
      </c>
      <c r="I24" t="s">
        <v>14</v>
      </c>
      <c r="J24" t="s">
        <v>23</v>
      </c>
      <c r="K24" t="s">
        <v>73</v>
      </c>
      <c r="L24" t="s">
        <v>19</v>
      </c>
      <c r="M24" t="s">
        <v>14</v>
      </c>
      <c r="N24" t="s">
        <v>46</v>
      </c>
      <c r="O24" t="s">
        <v>55</v>
      </c>
      <c r="P24" t="s">
        <v>35</v>
      </c>
      <c r="Q24" t="s">
        <v>26</v>
      </c>
      <c r="R24">
        <v>34.479999999999997</v>
      </c>
      <c r="S24" t="s">
        <v>158</v>
      </c>
      <c r="T24" t="s">
        <v>153</v>
      </c>
    </row>
    <row r="25" spans="1:20" hidden="1" x14ac:dyDescent="0.25">
      <c r="A25" t="s">
        <v>3</v>
      </c>
      <c r="B25" t="s">
        <v>4</v>
      </c>
      <c r="C25">
        <v>161</v>
      </c>
      <c r="D25">
        <v>68</v>
      </c>
      <c r="E25" t="s">
        <v>5</v>
      </c>
      <c r="F25" t="s">
        <v>7</v>
      </c>
      <c r="G25" t="s">
        <v>8</v>
      </c>
      <c r="H25" t="s">
        <v>72</v>
      </c>
      <c r="I25" t="s">
        <v>75</v>
      </c>
      <c r="J25" t="s">
        <v>23</v>
      </c>
      <c r="K25" t="s">
        <v>76</v>
      </c>
      <c r="L25" t="s">
        <v>52</v>
      </c>
      <c r="M25" t="s">
        <v>77</v>
      </c>
      <c r="N25" t="s">
        <v>38</v>
      </c>
      <c r="O25" t="s">
        <v>16</v>
      </c>
      <c r="P25" t="s">
        <v>48</v>
      </c>
      <c r="Q25" t="s">
        <v>26</v>
      </c>
      <c r="R25">
        <v>21.93</v>
      </c>
      <c r="S25" t="s">
        <v>152</v>
      </c>
      <c r="T25" t="s">
        <v>153</v>
      </c>
    </row>
    <row r="26" spans="1:20" x14ac:dyDescent="0.25">
      <c r="A26" t="s">
        <v>3</v>
      </c>
      <c r="B26" t="s">
        <v>4</v>
      </c>
      <c r="C26">
        <v>166</v>
      </c>
      <c r="D26">
        <v>60</v>
      </c>
      <c r="E26" t="s">
        <v>54</v>
      </c>
      <c r="F26" t="s">
        <v>11</v>
      </c>
      <c r="G26" t="s">
        <v>20</v>
      </c>
      <c r="H26" t="s">
        <v>72</v>
      </c>
      <c r="I26" t="s">
        <v>14</v>
      </c>
      <c r="J26" t="s">
        <v>23</v>
      </c>
      <c r="K26" t="s">
        <v>73</v>
      </c>
      <c r="L26" t="s">
        <v>19</v>
      </c>
      <c r="M26" t="s">
        <v>14</v>
      </c>
      <c r="N26" t="s">
        <v>46</v>
      </c>
      <c r="O26" t="s">
        <v>55</v>
      </c>
      <c r="P26" t="s">
        <v>35</v>
      </c>
      <c r="Q26" t="s">
        <v>26</v>
      </c>
      <c r="R26">
        <v>33.39</v>
      </c>
      <c r="S26" t="s">
        <v>158</v>
      </c>
      <c r="T26" t="s">
        <v>153</v>
      </c>
    </row>
    <row r="27" spans="1:20" hidden="1" x14ac:dyDescent="0.25">
      <c r="A27" t="s">
        <v>3</v>
      </c>
      <c r="B27" t="s">
        <v>4</v>
      </c>
      <c r="C27">
        <v>163</v>
      </c>
      <c r="D27">
        <v>68</v>
      </c>
      <c r="E27" t="s">
        <v>5</v>
      </c>
      <c r="F27" t="s">
        <v>7</v>
      </c>
      <c r="G27" t="s">
        <v>8</v>
      </c>
      <c r="H27" t="s">
        <v>72</v>
      </c>
      <c r="I27" t="s">
        <v>75</v>
      </c>
      <c r="J27" t="s">
        <v>23</v>
      </c>
      <c r="K27" t="s">
        <v>76</v>
      </c>
      <c r="L27" t="s">
        <v>52</v>
      </c>
      <c r="M27" t="s">
        <v>77</v>
      </c>
      <c r="N27" t="s">
        <v>38</v>
      </c>
      <c r="O27" t="s">
        <v>16</v>
      </c>
      <c r="P27" t="s">
        <v>48</v>
      </c>
      <c r="Q27" t="s">
        <v>26</v>
      </c>
      <c r="R27">
        <v>23.5</v>
      </c>
      <c r="S27" t="s">
        <v>152</v>
      </c>
      <c r="T27" t="s">
        <v>153</v>
      </c>
    </row>
    <row r="28" spans="1:20" x14ac:dyDescent="0.25">
      <c r="A28" t="s">
        <v>83</v>
      </c>
      <c r="B28" t="s">
        <v>4</v>
      </c>
      <c r="C28">
        <v>175</v>
      </c>
      <c r="D28">
        <v>72</v>
      </c>
      <c r="E28" t="s">
        <v>5</v>
      </c>
      <c r="F28" t="s">
        <v>7</v>
      </c>
      <c r="G28" t="s">
        <v>8</v>
      </c>
      <c r="H28" t="s">
        <v>30</v>
      </c>
      <c r="I28" t="s">
        <v>10</v>
      </c>
      <c r="J28" t="s">
        <v>23</v>
      </c>
      <c r="K28" t="s">
        <v>50</v>
      </c>
      <c r="L28" t="s">
        <v>32</v>
      </c>
      <c r="M28" t="s">
        <v>51</v>
      </c>
      <c r="N28" t="s">
        <v>38</v>
      </c>
      <c r="O28" t="s">
        <v>34</v>
      </c>
      <c r="P28" t="s">
        <v>17</v>
      </c>
      <c r="Q28" t="s">
        <v>26</v>
      </c>
      <c r="R28">
        <v>23.51</v>
      </c>
      <c r="S28" t="s">
        <v>152</v>
      </c>
      <c r="T28" t="s">
        <v>153</v>
      </c>
    </row>
    <row r="29" spans="1:20" x14ac:dyDescent="0.25">
      <c r="A29" t="s">
        <v>83</v>
      </c>
      <c r="B29" t="s">
        <v>4</v>
      </c>
      <c r="C29">
        <v>175</v>
      </c>
      <c r="D29">
        <v>70</v>
      </c>
      <c r="E29" t="s">
        <v>5</v>
      </c>
      <c r="F29" t="s">
        <v>7</v>
      </c>
      <c r="G29" t="s">
        <v>20</v>
      </c>
      <c r="H29" t="s">
        <v>9</v>
      </c>
      <c r="I29" t="s">
        <v>155</v>
      </c>
      <c r="J29" t="s">
        <v>11</v>
      </c>
      <c r="K29" t="s">
        <v>62</v>
      </c>
      <c r="L29" t="s">
        <v>32</v>
      </c>
      <c r="M29" t="s">
        <v>53</v>
      </c>
      <c r="N29" t="s">
        <v>15</v>
      </c>
      <c r="O29" t="s">
        <v>55</v>
      </c>
      <c r="P29" t="s">
        <v>25</v>
      </c>
      <c r="Q29" t="s">
        <v>26</v>
      </c>
      <c r="R29">
        <v>22.86</v>
      </c>
      <c r="S29" t="s">
        <v>152</v>
      </c>
      <c r="T29" t="s">
        <v>153</v>
      </c>
    </row>
    <row r="30" spans="1:20" x14ac:dyDescent="0.25">
      <c r="A30" t="s">
        <v>83</v>
      </c>
      <c r="B30" t="s">
        <v>36</v>
      </c>
      <c r="C30">
        <v>167</v>
      </c>
      <c r="D30">
        <v>88</v>
      </c>
      <c r="E30" t="s">
        <v>5</v>
      </c>
      <c r="F30" t="s">
        <v>6</v>
      </c>
      <c r="G30" t="s">
        <v>20</v>
      </c>
      <c r="H30" t="s">
        <v>21</v>
      </c>
      <c r="I30" t="s">
        <v>22</v>
      </c>
      <c r="J30" t="s">
        <v>23</v>
      </c>
      <c r="K30" t="s">
        <v>62</v>
      </c>
      <c r="L30" t="s">
        <v>32</v>
      </c>
      <c r="M30" t="s">
        <v>37</v>
      </c>
      <c r="N30" t="s">
        <v>38</v>
      </c>
      <c r="O30" t="s">
        <v>16</v>
      </c>
      <c r="P30" t="s">
        <v>48</v>
      </c>
      <c r="Q30" t="s">
        <v>26</v>
      </c>
      <c r="R30">
        <v>31.55</v>
      </c>
      <c r="S30" t="s">
        <v>158</v>
      </c>
      <c r="T30" t="s">
        <v>153</v>
      </c>
    </row>
    <row r="31" spans="1:20" x14ac:dyDescent="0.25">
      <c r="A31" t="s">
        <v>83</v>
      </c>
      <c r="B31" t="s">
        <v>4</v>
      </c>
      <c r="C31">
        <v>165</v>
      </c>
      <c r="D31">
        <v>69</v>
      </c>
      <c r="E31" t="s">
        <v>54</v>
      </c>
      <c r="F31" t="s">
        <v>19</v>
      </c>
      <c r="G31" t="s">
        <v>20</v>
      </c>
      <c r="H31" t="s">
        <v>30</v>
      </c>
      <c r="I31" t="s">
        <v>22</v>
      </c>
      <c r="J31" t="s">
        <v>23</v>
      </c>
      <c r="K31" t="s">
        <v>28</v>
      </c>
      <c r="L31" t="s">
        <v>24</v>
      </c>
      <c r="M31" t="s">
        <v>14</v>
      </c>
      <c r="N31" t="s">
        <v>15</v>
      </c>
      <c r="O31" t="s">
        <v>16</v>
      </c>
      <c r="P31" t="s">
        <v>35</v>
      </c>
      <c r="Q31" t="s">
        <v>26</v>
      </c>
      <c r="R31">
        <v>25.34</v>
      </c>
      <c r="S31" t="s">
        <v>157</v>
      </c>
      <c r="T31" t="s">
        <v>153</v>
      </c>
    </row>
    <row r="32" spans="1:20" x14ac:dyDescent="0.25">
      <c r="A32" t="s">
        <v>83</v>
      </c>
      <c r="B32" t="s">
        <v>36</v>
      </c>
      <c r="C32">
        <v>157</v>
      </c>
      <c r="D32">
        <v>45</v>
      </c>
      <c r="E32" t="s">
        <v>54</v>
      </c>
      <c r="F32" t="s">
        <v>11</v>
      </c>
      <c r="G32" t="s">
        <v>20</v>
      </c>
      <c r="H32" t="s">
        <v>21</v>
      </c>
      <c r="I32" t="s">
        <v>14</v>
      </c>
      <c r="J32" t="s">
        <v>23</v>
      </c>
      <c r="K32" t="s">
        <v>12</v>
      </c>
      <c r="L32" t="s">
        <v>24</v>
      </c>
      <c r="M32" t="s">
        <v>14</v>
      </c>
      <c r="N32" t="s">
        <v>15</v>
      </c>
      <c r="O32" t="s">
        <v>55</v>
      </c>
      <c r="P32" t="s">
        <v>71</v>
      </c>
      <c r="Q32" t="s">
        <v>26</v>
      </c>
      <c r="R32">
        <v>18.260000000000002</v>
      </c>
      <c r="S32" t="s">
        <v>156</v>
      </c>
      <c r="T32" t="s">
        <v>153</v>
      </c>
    </row>
    <row r="33" spans="1:20" x14ac:dyDescent="0.25">
      <c r="A33" t="s">
        <v>83</v>
      </c>
      <c r="B33" t="s">
        <v>36</v>
      </c>
      <c r="C33">
        <v>165</v>
      </c>
      <c r="D33">
        <v>56</v>
      </c>
      <c r="E33" t="s">
        <v>54</v>
      </c>
      <c r="F33" t="s">
        <v>7</v>
      </c>
      <c r="G33" t="s">
        <v>19</v>
      </c>
      <c r="H33" t="s">
        <v>9</v>
      </c>
      <c r="I33" t="s">
        <v>140</v>
      </c>
      <c r="J33" t="s">
        <v>43</v>
      </c>
      <c r="K33" t="s">
        <v>14</v>
      </c>
      <c r="L33" t="s">
        <v>44</v>
      </c>
      <c r="M33" t="s">
        <v>37</v>
      </c>
      <c r="N33" t="s">
        <v>15</v>
      </c>
      <c r="O33" t="s">
        <v>55</v>
      </c>
      <c r="P33" t="s">
        <v>80</v>
      </c>
      <c r="Q33" t="s">
        <v>26</v>
      </c>
      <c r="R33">
        <v>20.57</v>
      </c>
      <c r="S33" t="s">
        <v>152</v>
      </c>
      <c r="T33" t="s">
        <v>154</v>
      </c>
    </row>
    <row r="34" spans="1:20" x14ac:dyDescent="0.25">
      <c r="A34" t="s">
        <v>83</v>
      </c>
      <c r="B34" t="s">
        <v>36</v>
      </c>
      <c r="C34">
        <v>170</v>
      </c>
      <c r="D34">
        <v>60</v>
      </c>
      <c r="E34" t="s">
        <v>54</v>
      </c>
      <c r="F34" t="s">
        <v>11</v>
      </c>
      <c r="G34" t="s">
        <v>20</v>
      </c>
      <c r="H34" t="s">
        <v>21</v>
      </c>
      <c r="I34" t="s">
        <v>139</v>
      </c>
      <c r="J34" t="s">
        <v>11</v>
      </c>
      <c r="K34" t="s">
        <v>62</v>
      </c>
      <c r="L34" t="s">
        <v>32</v>
      </c>
      <c r="M34" t="s">
        <v>45</v>
      </c>
      <c r="N34" t="s">
        <v>15</v>
      </c>
      <c r="O34" t="s">
        <v>16</v>
      </c>
      <c r="P34" t="s">
        <v>25</v>
      </c>
      <c r="Q34" t="s">
        <v>26</v>
      </c>
      <c r="R34">
        <v>18.079999999999998</v>
      </c>
      <c r="S34" t="s">
        <v>156</v>
      </c>
      <c r="T34" t="s">
        <v>153</v>
      </c>
    </row>
    <row r="35" spans="1:20" x14ac:dyDescent="0.25">
      <c r="A35" t="s">
        <v>83</v>
      </c>
      <c r="B35" t="s">
        <v>4</v>
      </c>
      <c r="C35">
        <v>169</v>
      </c>
      <c r="D35">
        <v>57</v>
      </c>
      <c r="E35" t="s">
        <v>54</v>
      </c>
      <c r="F35" t="s">
        <v>11</v>
      </c>
      <c r="G35" t="s">
        <v>20</v>
      </c>
      <c r="H35" t="s">
        <v>44</v>
      </c>
      <c r="I35" t="s">
        <v>22</v>
      </c>
      <c r="J35" t="s">
        <v>23</v>
      </c>
      <c r="K35" t="s">
        <v>52</v>
      </c>
      <c r="L35" t="s">
        <v>19</v>
      </c>
      <c r="M35" t="s">
        <v>14</v>
      </c>
      <c r="N35" t="s">
        <v>46</v>
      </c>
      <c r="O35" t="s">
        <v>16</v>
      </c>
      <c r="P35" t="s">
        <v>48</v>
      </c>
      <c r="Q35" t="s">
        <v>26</v>
      </c>
      <c r="R35">
        <v>28.73</v>
      </c>
      <c r="S35" t="s">
        <v>157</v>
      </c>
      <c r="T35" t="s">
        <v>153</v>
      </c>
    </row>
    <row r="36" spans="1:20" x14ac:dyDescent="0.25">
      <c r="A36" t="s">
        <v>83</v>
      </c>
      <c r="B36" t="s">
        <v>4</v>
      </c>
      <c r="C36">
        <v>163</v>
      </c>
      <c r="D36">
        <v>93</v>
      </c>
      <c r="E36" t="s">
        <v>5</v>
      </c>
      <c r="F36" t="s">
        <v>6</v>
      </c>
      <c r="G36" t="s">
        <v>44</v>
      </c>
      <c r="H36" t="s">
        <v>9</v>
      </c>
      <c r="I36" t="s">
        <v>155</v>
      </c>
      <c r="J36" t="s">
        <v>43</v>
      </c>
      <c r="K36" t="s">
        <v>14</v>
      </c>
      <c r="L36" t="s">
        <v>44</v>
      </c>
      <c r="M36" t="s">
        <v>88</v>
      </c>
      <c r="N36" t="s">
        <v>38</v>
      </c>
      <c r="O36" t="s">
        <v>55</v>
      </c>
      <c r="P36" t="s">
        <v>48</v>
      </c>
      <c r="Q36" t="s">
        <v>26</v>
      </c>
      <c r="R36">
        <v>21.15</v>
      </c>
      <c r="S36" t="s">
        <v>152</v>
      </c>
      <c r="T36" t="s">
        <v>154</v>
      </c>
    </row>
    <row r="37" spans="1:20" x14ac:dyDescent="0.25">
      <c r="A37" t="s">
        <v>83</v>
      </c>
      <c r="B37" t="s">
        <v>4</v>
      </c>
      <c r="C37">
        <v>165</v>
      </c>
      <c r="D37">
        <v>72</v>
      </c>
      <c r="E37" t="s">
        <v>5</v>
      </c>
      <c r="F37" t="s">
        <v>19</v>
      </c>
      <c r="G37" t="s">
        <v>44</v>
      </c>
      <c r="H37" t="s">
        <v>9</v>
      </c>
      <c r="I37" t="s">
        <v>69</v>
      </c>
      <c r="J37" t="s">
        <v>43</v>
      </c>
      <c r="K37" t="s">
        <v>14</v>
      </c>
      <c r="L37" t="s">
        <v>44</v>
      </c>
      <c r="M37" t="s">
        <v>37</v>
      </c>
      <c r="N37" t="s">
        <v>65</v>
      </c>
      <c r="O37" t="s">
        <v>55</v>
      </c>
      <c r="P37" t="s">
        <v>14</v>
      </c>
      <c r="Q37" t="s">
        <v>26</v>
      </c>
      <c r="R37">
        <v>25.72</v>
      </c>
      <c r="S37" t="s">
        <v>157</v>
      </c>
      <c r="T37" t="s">
        <v>154</v>
      </c>
    </row>
    <row r="38" spans="1:20" x14ac:dyDescent="0.25">
      <c r="A38" t="s">
        <v>83</v>
      </c>
      <c r="B38" t="s">
        <v>4</v>
      </c>
      <c r="C38">
        <v>171</v>
      </c>
      <c r="D38">
        <v>95</v>
      </c>
      <c r="E38" t="s">
        <v>5</v>
      </c>
      <c r="F38" t="s">
        <v>6</v>
      </c>
      <c r="G38" t="s">
        <v>44</v>
      </c>
      <c r="H38" t="s">
        <v>9</v>
      </c>
      <c r="I38" t="s">
        <v>155</v>
      </c>
      <c r="J38" t="s">
        <v>43</v>
      </c>
      <c r="K38" t="s">
        <v>14</v>
      </c>
      <c r="L38" t="s">
        <v>44</v>
      </c>
      <c r="M38" t="s">
        <v>88</v>
      </c>
      <c r="N38" t="s">
        <v>38</v>
      </c>
      <c r="O38" t="s">
        <v>55</v>
      </c>
      <c r="P38" t="s">
        <v>48</v>
      </c>
      <c r="Q38" t="s">
        <v>26</v>
      </c>
      <c r="R38">
        <v>20.98</v>
      </c>
      <c r="S38" t="s">
        <v>152</v>
      </c>
      <c r="T38" t="s">
        <v>154</v>
      </c>
    </row>
    <row r="39" spans="1:20" x14ac:dyDescent="0.25">
      <c r="A39" t="s">
        <v>83</v>
      </c>
      <c r="B39" t="s">
        <v>36</v>
      </c>
      <c r="C39">
        <v>159</v>
      </c>
      <c r="D39">
        <v>59</v>
      </c>
      <c r="E39" t="s">
        <v>5</v>
      </c>
      <c r="F39" t="s">
        <v>7</v>
      </c>
      <c r="G39" t="s">
        <v>11</v>
      </c>
      <c r="H39" t="s">
        <v>72</v>
      </c>
      <c r="I39" t="s">
        <v>14</v>
      </c>
      <c r="J39" t="s">
        <v>43</v>
      </c>
      <c r="K39" t="s">
        <v>14</v>
      </c>
      <c r="L39" t="s">
        <v>44</v>
      </c>
      <c r="M39" t="s">
        <v>89</v>
      </c>
      <c r="N39" t="s">
        <v>38</v>
      </c>
      <c r="O39" t="s">
        <v>58</v>
      </c>
      <c r="P39" t="s">
        <v>14</v>
      </c>
      <c r="Q39" t="s">
        <v>26</v>
      </c>
      <c r="R39">
        <v>20.18</v>
      </c>
      <c r="S39" t="s">
        <v>152</v>
      </c>
      <c r="T39" t="s">
        <v>154</v>
      </c>
    </row>
    <row r="40" spans="1:20" x14ac:dyDescent="0.25">
      <c r="A40" t="s">
        <v>83</v>
      </c>
      <c r="B40" t="s">
        <v>4</v>
      </c>
      <c r="C40">
        <v>163</v>
      </c>
      <c r="D40">
        <v>91</v>
      </c>
      <c r="E40" t="s">
        <v>5</v>
      </c>
      <c r="F40" t="s">
        <v>6</v>
      </c>
      <c r="G40" t="s">
        <v>44</v>
      </c>
      <c r="H40" t="s">
        <v>9</v>
      </c>
      <c r="I40" t="s">
        <v>155</v>
      </c>
      <c r="J40" t="s">
        <v>43</v>
      </c>
      <c r="K40" t="s">
        <v>14</v>
      </c>
      <c r="L40" t="s">
        <v>44</v>
      </c>
      <c r="M40" t="s">
        <v>88</v>
      </c>
      <c r="N40" t="s">
        <v>38</v>
      </c>
      <c r="O40" t="s">
        <v>55</v>
      </c>
      <c r="P40" t="s">
        <v>48</v>
      </c>
      <c r="Q40" t="s">
        <v>26</v>
      </c>
      <c r="R40">
        <v>21.63</v>
      </c>
      <c r="S40" t="s">
        <v>152</v>
      </c>
      <c r="T40" t="s">
        <v>154</v>
      </c>
    </row>
    <row r="41" spans="1:20" x14ac:dyDescent="0.25">
      <c r="A41" t="s">
        <v>83</v>
      </c>
      <c r="B41" t="s">
        <v>4</v>
      </c>
      <c r="C41">
        <v>167</v>
      </c>
      <c r="D41">
        <v>71</v>
      </c>
      <c r="E41" t="s">
        <v>5</v>
      </c>
      <c r="F41" t="s">
        <v>19</v>
      </c>
      <c r="G41" t="s">
        <v>44</v>
      </c>
      <c r="H41" t="s">
        <v>9</v>
      </c>
      <c r="I41" t="s">
        <v>69</v>
      </c>
      <c r="J41" t="s">
        <v>43</v>
      </c>
      <c r="K41" t="s">
        <v>14</v>
      </c>
      <c r="L41" t="s">
        <v>44</v>
      </c>
      <c r="M41" t="s">
        <v>37</v>
      </c>
      <c r="N41" t="s">
        <v>65</v>
      </c>
      <c r="O41" t="s">
        <v>55</v>
      </c>
      <c r="P41" t="s">
        <v>14</v>
      </c>
      <c r="Q41" t="s">
        <v>26</v>
      </c>
      <c r="R41">
        <v>26.99</v>
      </c>
      <c r="S41" t="s">
        <v>157</v>
      </c>
      <c r="T41" t="s">
        <v>154</v>
      </c>
    </row>
    <row r="42" spans="1:20" x14ac:dyDescent="0.25">
      <c r="A42" t="s">
        <v>94</v>
      </c>
      <c r="B42" t="s">
        <v>4</v>
      </c>
      <c r="C42">
        <v>178</v>
      </c>
      <c r="D42">
        <v>85</v>
      </c>
      <c r="E42" t="s">
        <v>5</v>
      </c>
      <c r="F42" t="s">
        <v>11</v>
      </c>
      <c r="G42" t="s">
        <v>20</v>
      </c>
      <c r="H42" t="s">
        <v>44</v>
      </c>
      <c r="I42" t="s">
        <v>22</v>
      </c>
      <c r="J42" t="s">
        <v>23</v>
      </c>
      <c r="K42" t="s">
        <v>12</v>
      </c>
      <c r="L42" t="s">
        <v>19</v>
      </c>
      <c r="M42" t="s">
        <v>47</v>
      </c>
      <c r="N42" t="s">
        <v>15</v>
      </c>
      <c r="O42" t="s">
        <v>16</v>
      </c>
      <c r="P42" t="s">
        <v>25</v>
      </c>
      <c r="Q42" t="s">
        <v>26</v>
      </c>
      <c r="R42">
        <v>26.83</v>
      </c>
      <c r="S42" t="s">
        <v>157</v>
      </c>
      <c r="T42" t="s">
        <v>153</v>
      </c>
    </row>
    <row r="43" spans="1:20" x14ac:dyDescent="0.25">
      <c r="A43" t="s">
        <v>94</v>
      </c>
      <c r="B43" t="s">
        <v>4</v>
      </c>
      <c r="C43">
        <v>178</v>
      </c>
      <c r="D43">
        <v>59</v>
      </c>
      <c r="E43" t="s">
        <v>5</v>
      </c>
      <c r="F43" t="s">
        <v>11</v>
      </c>
      <c r="G43" t="s">
        <v>20</v>
      </c>
      <c r="H43" t="s">
        <v>44</v>
      </c>
      <c r="I43" t="s">
        <v>22</v>
      </c>
      <c r="J43" t="s">
        <v>23</v>
      </c>
      <c r="K43" t="s">
        <v>52</v>
      </c>
      <c r="L43" t="s">
        <v>19</v>
      </c>
      <c r="M43" t="s">
        <v>47</v>
      </c>
      <c r="N43" t="s">
        <v>15</v>
      </c>
      <c r="O43" t="s">
        <v>16</v>
      </c>
      <c r="P43" t="s">
        <v>49</v>
      </c>
      <c r="Q43" t="s">
        <v>26</v>
      </c>
      <c r="R43">
        <v>18.62</v>
      </c>
      <c r="S43" t="s">
        <v>152</v>
      </c>
      <c r="T43" t="s">
        <v>153</v>
      </c>
    </row>
    <row r="44" spans="1:20" x14ac:dyDescent="0.25">
      <c r="A44" t="s">
        <v>94</v>
      </c>
      <c r="B44" t="s">
        <v>36</v>
      </c>
      <c r="C44">
        <v>167</v>
      </c>
      <c r="D44">
        <v>67</v>
      </c>
      <c r="E44" t="s">
        <v>5</v>
      </c>
      <c r="F44" t="s">
        <v>11</v>
      </c>
      <c r="G44" t="s">
        <v>20</v>
      </c>
      <c r="H44" t="s">
        <v>40</v>
      </c>
      <c r="I44" t="s">
        <v>22</v>
      </c>
      <c r="J44" t="s">
        <v>23</v>
      </c>
      <c r="K44" t="s">
        <v>12</v>
      </c>
      <c r="L44" t="s">
        <v>19</v>
      </c>
      <c r="M44" t="s">
        <v>47</v>
      </c>
      <c r="N44" t="s">
        <v>46</v>
      </c>
      <c r="O44" t="s">
        <v>16</v>
      </c>
      <c r="P44" t="s">
        <v>25</v>
      </c>
      <c r="Q44" t="s">
        <v>26</v>
      </c>
      <c r="R44">
        <v>24.02</v>
      </c>
      <c r="S44" t="s">
        <v>152</v>
      </c>
      <c r="T44" t="s">
        <v>153</v>
      </c>
    </row>
    <row r="45" spans="1:20" x14ac:dyDescent="0.25">
      <c r="A45" t="s">
        <v>94</v>
      </c>
      <c r="B45" t="s">
        <v>4</v>
      </c>
      <c r="C45">
        <v>174</v>
      </c>
      <c r="D45">
        <v>92</v>
      </c>
      <c r="E45" t="s">
        <v>54</v>
      </c>
      <c r="F45" t="s">
        <v>6</v>
      </c>
      <c r="G45" t="s">
        <v>11</v>
      </c>
      <c r="H45" t="s">
        <v>9</v>
      </c>
      <c r="I45" t="s">
        <v>141</v>
      </c>
      <c r="J45" t="s">
        <v>43</v>
      </c>
      <c r="K45" t="s">
        <v>14</v>
      </c>
      <c r="L45" t="s">
        <v>44</v>
      </c>
      <c r="M45" t="s">
        <v>60</v>
      </c>
      <c r="N45" t="s">
        <v>65</v>
      </c>
      <c r="O45" t="s">
        <v>55</v>
      </c>
      <c r="P45" t="s">
        <v>17</v>
      </c>
      <c r="Q45" t="s">
        <v>26</v>
      </c>
      <c r="R45">
        <v>30.39</v>
      </c>
      <c r="S45" t="s">
        <v>158</v>
      </c>
      <c r="T45" t="s">
        <v>154</v>
      </c>
    </row>
    <row r="46" spans="1:20" x14ac:dyDescent="0.25">
      <c r="A46" t="s">
        <v>94</v>
      </c>
      <c r="B46" t="s">
        <v>4</v>
      </c>
      <c r="C46">
        <v>173</v>
      </c>
      <c r="D46">
        <v>75</v>
      </c>
      <c r="E46" t="s">
        <v>54</v>
      </c>
      <c r="F46" t="s">
        <v>11</v>
      </c>
      <c r="G46" t="s">
        <v>8</v>
      </c>
      <c r="H46" t="s">
        <v>44</v>
      </c>
      <c r="I46" t="s">
        <v>22</v>
      </c>
      <c r="J46" t="s">
        <v>23</v>
      </c>
      <c r="K46" t="s">
        <v>12</v>
      </c>
      <c r="L46" t="s">
        <v>19</v>
      </c>
      <c r="M46" t="s">
        <v>47</v>
      </c>
      <c r="N46" t="s">
        <v>38</v>
      </c>
      <c r="O46" t="s">
        <v>16</v>
      </c>
      <c r="P46" t="s">
        <v>48</v>
      </c>
      <c r="Q46" t="s">
        <v>26</v>
      </c>
      <c r="R46">
        <v>25.06</v>
      </c>
      <c r="S46" t="s">
        <v>157</v>
      </c>
      <c r="T46" t="s">
        <v>153</v>
      </c>
    </row>
    <row r="47" spans="1:20" x14ac:dyDescent="0.25">
      <c r="A47" t="s">
        <v>94</v>
      </c>
      <c r="B47" t="s">
        <v>4</v>
      </c>
      <c r="C47">
        <v>178</v>
      </c>
      <c r="D47">
        <v>80</v>
      </c>
      <c r="E47" t="s">
        <v>54</v>
      </c>
      <c r="F47" t="s">
        <v>7</v>
      </c>
      <c r="G47" t="s">
        <v>20</v>
      </c>
      <c r="H47" t="s">
        <v>44</v>
      </c>
      <c r="I47" t="s">
        <v>22</v>
      </c>
      <c r="J47" t="s">
        <v>23</v>
      </c>
      <c r="K47" t="s">
        <v>12</v>
      </c>
      <c r="L47" t="s">
        <v>19</v>
      </c>
      <c r="M47" t="s">
        <v>47</v>
      </c>
      <c r="N47" t="s">
        <v>15</v>
      </c>
      <c r="O47" t="s">
        <v>16</v>
      </c>
      <c r="P47" t="s">
        <v>48</v>
      </c>
      <c r="Q47" t="s">
        <v>26</v>
      </c>
      <c r="R47">
        <v>20.45</v>
      </c>
      <c r="S47" t="s">
        <v>152</v>
      </c>
      <c r="T47" t="s">
        <v>153</v>
      </c>
    </row>
    <row r="48" spans="1:20" x14ac:dyDescent="0.25">
      <c r="A48" t="s">
        <v>94</v>
      </c>
      <c r="B48" t="s">
        <v>4</v>
      </c>
      <c r="C48">
        <v>179</v>
      </c>
      <c r="D48">
        <v>80</v>
      </c>
      <c r="E48" t="s">
        <v>54</v>
      </c>
      <c r="F48" t="s">
        <v>44</v>
      </c>
      <c r="G48" t="s">
        <v>20</v>
      </c>
      <c r="H48" t="s">
        <v>44</v>
      </c>
      <c r="I48" t="s">
        <v>22</v>
      </c>
      <c r="J48" t="s">
        <v>23</v>
      </c>
      <c r="K48" t="s">
        <v>12</v>
      </c>
      <c r="L48" t="s">
        <v>19</v>
      </c>
      <c r="M48" t="s">
        <v>47</v>
      </c>
      <c r="N48" t="s">
        <v>46</v>
      </c>
      <c r="O48" t="s">
        <v>16</v>
      </c>
      <c r="P48" t="s">
        <v>25</v>
      </c>
      <c r="Q48" t="s">
        <v>26</v>
      </c>
      <c r="R48">
        <v>27.55</v>
      </c>
      <c r="S48" t="s">
        <v>157</v>
      </c>
      <c r="T48" t="s">
        <v>153</v>
      </c>
    </row>
    <row r="49" spans="1:20" x14ac:dyDescent="0.25">
      <c r="A49" t="s">
        <v>94</v>
      </c>
      <c r="B49" t="s">
        <v>36</v>
      </c>
      <c r="C49">
        <v>165</v>
      </c>
      <c r="D49">
        <v>56</v>
      </c>
      <c r="E49" t="s">
        <v>54</v>
      </c>
      <c r="F49" t="s">
        <v>11</v>
      </c>
      <c r="G49" t="s">
        <v>20</v>
      </c>
      <c r="H49" t="s">
        <v>40</v>
      </c>
      <c r="I49" t="s">
        <v>22</v>
      </c>
      <c r="J49" t="s">
        <v>23</v>
      </c>
      <c r="K49" t="s">
        <v>12</v>
      </c>
      <c r="L49" t="s">
        <v>19</v>
      </c>
      <c r="M49" t="s">
        <v>14</v>
      </c>
      <c r="N49" t="s">
        <v>46</v>
      </c>
      <c r="O49" t="s">
        <v>16</v>
      </c>
      <c r="P49" t="s">
        <v>49</v>
      </c>
      <c r="Q49" t="s">
        <v>26</v>
      </c>
      <c r="R49">
        <v>16.2</v>
      </c>
      <c r="S49" t="s">
        <v>156</v>
      </c>
      <c r="T49" t="s">
        <v>153</v>
      </c>
    </row>
    <row r="50" spans="1:20" x14ac:dyDescent="0.25">
      <c r="A50" t="s">
        <v>94</v>
      </c>
      <c r="B50" t="s">
        <v>4</v>
      </c>
      <c r="C50">
        <v>173</v>
      </c>
      <c r="D50">
        <v>86</v>
      </c>
      <c r="E50" t="s">
        <v>54</v>
      </c>
      <c r="F50" t="s">
        <v>11</v>
      </c>
      <c r="G50" t="s">
        <v>19</v>
      </c>
      <c r="H50" t="s">
        <v>40</v>
      </c>
      <c r="I50" t="s">
        <v>22</v>
      </c>
      <c r="J50" t="s">
        <v>23</v>
      </c>
      <c r="K50" t="s">
        <v>50</v>
      </c>
      <c r="L50" t="s">
        <v>19</v>
      </c>
      <c r="M50" t="s">
        <v>47</v>
      </c>
      <c r="N50" t="s">
        <v>15</v>
      </c>
      <c r="O50" t="s">
        <v>16</v>
      </c>
      <c r="P50" t="s">
        <v>25</v>
      </c>
      <c r="Q50" t="s">
        <v>26</v>
      </c>
      <c r="R50">
        <v>24.38</v>
      </c>
      <c r="S50" t="s">
        <v>152</v>
      </c>
      <c r="T50" t="s">
        <v>153</v>
      </c>
    </row>
    <row r="51" spans="1:20" x14ac:dyDescent="0.25">
      <c r="A51" t="s">
        <v>94</v>
      </c>
      <c r="B51" t="s">
        <v>4</v>
      </c>
      <c r="C51">
        <v>178</v>
      </c>
      <c r="D51">
        <v>89</v>
      </c>
      <c r="E51" t="s">
        <v>54</v>
      </c>
      <c r="F51" t="s">
        <v>11</v>
      </c>
      <c r="G51" t="s">
        <v>19</v>
      </c>
      <c r="H51" t="s">
        <v>44</v>
      </c>
      <c r="I51" t="s">
        <v>22</v>
      </c>
      <c r="J51" t="s">
        <v>23</v>
      </c>
      <c r="K51" t="s">
        <v>12</v>
      </c>
      <c r="L51" t="s">
        <v>19</v>
      </c>
      <c r="M51" t="s">
        <v>47</v>
      </c>
      <c r="N51" t="s">
        <v>15</v>
      </c>
      <c r="O51" t="s">
        <v>16</v>
      </c>
      <c r="P51" t="s">
        <v>25</v>
      </c>
      <c r="Q51" t="s">
        <v>26</v>
      </c>
      <c r="R51">
        <v>21.26</v>
      </c>
      <c r="S51" t="s">
        <v>152</v>
      </c>
      <c r="T51" t="s">
        <v>153</v>
      </c>
    </row>
    <row r="52" spans="1:20" x14ac:dyDescent="0.25">
      <c r="A52" t="s">
        <v>94</v>
      </c>
      <c r="B52" t="s">
        <v>36</v>
      </c>
      <c r="C52">
        <v>164</v>
      </c>
      <c r="D52">
        <v>80</v>
      </c>
      <c r="E52" t="s">
        <v>54</v>
      </c>
      <c r="F52" t="s">
        <v>19</v>
      </c>
      <c r="G52" t="s">
        <v>20</v>
      </c>
      <c r="H52" t="s">
        <v>9</v>
      </c>
      <c r="I52" t="s">
        <v>139</v>
      </c>
      <c r="J52" t="s">
        <v>43</v>
      </c>
      <c r="K52" t="s">
        <v>14</v>
      </c>
      <c r="L52" t="s">
        <v>44</v>
      </c>
      <c r="M52" t="s">
        <v>53</v>
      </c>
      <c r="N52" t="s">
        <v>15</v>
      </c>
      <c r="O52" t="s">
        <v>16</v>
      </c>
      <c r="P52" t="s">
        <v>25</v>
      </c>
      <c r="Q52" t="s">
        <v>26</v>
      </c>
      <c r="R52">
        <v>29.59</v>
      </c>
      <c r="S52" t="s">
        <v>157</v>
      </c>
      <c r="T52" t="s">
        <v>154</v>
      </c>
    </row>
    <row r="53" spans="1:20" x14ac:dyDescent="0.25">
      <c r="A53" t="s">
        <v>94</v>
      </c>
      <c r="B53" t="s">
        <v>36</v>
      </c>
      <c r="C53">
        <v>156</v>
      </c>
      <c r="D53">
        <v>72</v>
      </c>
      <c r="E53" t="s">
        <v>54</v>
      </c>
      <c r="F53" t="s">
        <v>44</v>
      </c>
      <c r="G53" t="s">
        <v>20</v>
      </c>
      <c r="H53" t="s">
        <v>40</v>
      </c>
      <c r="I53" t="s">
        <v>22</v>
      </c>
      <c r="J53" t="s">
        <v>23</v>
      </c>
      <c r="K53" t="s">
        <v>52</v>
      </c>
      <c r="L53" t="s">
        <v>19</v>
      </c>
      <c r="M53" t="s">
        <v>53</v>
      </c>
      <c r="N53" t="s">
        <v>15</v>
      </c>
      <c r="O53" t="s">
        <v>16</v>
      </c>
      <c r="P53" t="s">
        <v>25</v>
      </c>
      <c r="Q53" t="s">
        <v>26</v>
      </c>
      <c r="R53">
        <v>19.829999999999998</v>
      </c>
      <c r="S53" t="s">
        <v>152</v>
      </c>
      <c r="T53" t="s">
        <v>153</v>
      </c>
    </row>
    <row r="54" spans="1:20" x14ac:dyDescent="0.25">
      <c r="A54" t="s">
        <v>94</v>
      </c>
      <c r="B54" t="s">
        <v>36</v>
      </c>
      <c r="C54">
        <v>150</v>
      </c>
      <c r="D54">
        <v>92</v>
      </c>
      <c r="E54" t="s">
        <v>5</v>
      </c>
      <c r="F54" t="s">
        <v>6</v>
      </c>
      <c r="G54" t="s">
        <v>8</v>
      </c>
      <c r="H54" t="s">
        <v>9</v>
      </c>
      <c r="I54" t="s">
        <v>69</v>
      </c>
      <c r="J54" t="s">
        <v>11</v>
      </c>
      <c r="K54" t="s">
        <v>12</v>
      </c>
      <c r="L54" t="s">
        <v>13</v>
      </c>
      <c r="M54" t="s">
        <v>95</v>
      </c>
      <c r="N54" t="s">
        <v>65</v>
      </c>
      <c r="O54" t="s">
        <v>58</v>
      </c>
      <c r="P54" t="s">
        <v>48</v>
      </c>
      <c r="Q54" t="s">
        <v>26</v>
      </c>
      <c r="R54">
        <v>22.55</v>
      </c>
      <c r="S54" t="s">
        <v>152</v>
      </c>
      <c r="T54" t="s">
        <v>154</v>
      </c>
    </row>
    <row r="55" spans="1:20" x14ac:dyDescent="0.25">
      <c r="A55" t="s">
        <v>94</v>
      </c>
      <c r="B55" t="s">
        <v>36</v>
      </c>
      <c r="C55">
        <v>159</v>
      </c>
      <c r="D55">
        <v>57</v>
      </c>
      <c r="E55" t="s">
        <v>5</v>
      </c>
      <c r="F55" t="s">
        <v>7</v>
      </c>
      <c r="G55" t="s">
        <v>11</v>
      </c>
      <c r="H55" t="s">
        <v>72</v>
      </c>
      <c r="I55" t="s">
        <v>14</v>
      </c>
      <c r="J55" t="s">
        <v>43</v>
      </c>
      <c r="K55" t="s">
        <v>14</v>
      </c>
      <c r="L55" t="s">
        <v>44</v>
      </c>
      <c r="M55" t="s">
        <v>89</v>
      </c>
      <c r="N55" t="s">
        <v>38</v>
      </c>
      <c r="O55" t="s">
        <v>58</v>
      </c>
      <c r="P55" t="s">
        <v>14</v>
      </c>
      <c r="Q55" t="s">
        <v>26</v>
      </c>
      <c r="R55">
        <v>24.44</v>
      </c>
      <c r="S55" t="s">
        <v>152</v>
      </c>
      <c r="T55" t="s">
        <v>154</v>
      </c>
    </row>
    <row r="56" spans="1:20" x14ac:dyDescent="0.25">
      <c r="A56" t="s">
        <v>94</v>
      </c>
      <c r="B56" t="s">
        <v>4</v>
      </c>
      <c r="C56">
        <v>156</v>
      </c>
      <c r="D56">
        <v>92</v>
      </c>
      <c r="E56" t="s">
        <v>5</v>
      </c>
      <c r="F56" t="s">
        <v>6</v>
      </c>
      <c r="G56" t="s">
        <v>8</v>
      </c>
      <c r="H56" t="s">
        <v>9</v>
      </c>
      <c r="I56" t="s">
        <v>69</v>
      </c>
      <c r="J56" t="s">
        <v>11</v>
      </c>
      <c r="K56" t="s">
        <v>12</v>
      </c>
      <c r="L56" t="s">
        <v>13</v>
      </c>
      <c r="M56" t="s">
        <v>95</v>
      </c>
      <c r="N56" t="s">
        <v>65</v>
      </c>
      <c r="O56" t="s">
        <v>58</v>
      </c>
      <c r="P56" t="s">
        <v>48</v>
      </c>
      <c r="Q56" t="s">
        <v>26</v>
      </c>
      <c r="R56">
        <v>23.34</v>
      </c>
      <c r="S56" t="s">
        <v>152</v>
      </c>
      <c r="T56" t="s">
        <v>154</v>
      </c>
    </row>
    <row r="57" spans="1:20" x14ac:dyDescent="0.25">
      <c r="A57" t="s">
        <v>97</v>
      </c>
      <c r="B57" t="s">
        <v>36</v>
      </c>
      <c r="C57">
        <v>158</v>
      </c>
      <c r="D57">
        <v>68</v>
      </c>
      <c r="E57" t="s">
        <v>5</v>
      </c>
      <c r="F57" t="s">
        <v>11</v>
      </c>
      <c r="G57" t="s">
        <v>8</v>
      </c>
      <c r="H57" t="s">
        <v>30</v>
      </c>
      <c r="I57" t="s">
        <v>14</v>
      </c>
      <c r="J57" t="s">
        <v>23</v>
      </c>
      <c r="K57" t="s">
        <v>12</v>
      </c>
      <c r="L57" t="s">
        <v>24</v>
      </c>
      <c r="M57" t="s">
        <v>37</v>
      </c>
      <c r="N57" t="s">
        <v>38</v>
      </c>
      <c r="O57" t="s">
        <v>55</v>
      </c>
      <c r="P57" t="s">
        <v>49</v>
      </c>
      <c r="Q57" t="s">
        <v>26</v>
      </c>
      <c r="R57">
        <v>27.24</v>
      </c>
      <c r="S57" t="s">
        <v>157</v>
      </c>
      <c r="T57" t="s">
        <v>153</v>
      </c>
    </row>
    <row r="58" spans="1:20" x14ac:dyDescent="0.25">
      <c r="A58" t="s">
        <v>97</v>
      </c>
      <c r="B58" t="s">
        <v>36</v>
      </c>
      <c r="C58">
        <v>167</v>
      </c>
      <c r="D58">
        <v>80</v>
      </c>
      <c r="E58" t="s">
        <v>5</v>
      </c>
      <c r="F58" t="s">
        <v>11</v>
      </c>
      <c r="G58" t="s">
        <v>20</v>
      </c>
      <c r="H58" t="s">
        <v>40</v>
      </c>
      <c r="I58" t="s">
        <v>22</v>
      </c>
      <c r="J58" t="s">
        <v>23</v>
      </c>
      <c r="K58" t="s">
        <v>12</v>
      </c>
      <c r="L58" t="s">
        <v>19</v>
      </c>
      <c r="M58" t="s">
        <v>14</v>
      </c>
      <c r="N58" t="s">
        <v>46</v>
      </c>
      <c r="O58" t="s">
        <v>16</v>
      </c>
      <c r="P58" t="s">
        <v>49</v>
      </c>
      <c r="Q58" t="s">
        <v>26</v>
      </c>
      <c r="R58">
        <v>28.69</v>
      </c>
      <c r="S58" t="s">
        <v>157</v>
      </c>
      <c r="T58" t="s">
        <v>153</v>
      </c>
    </row>
    <row r="59" spans="1:20" x14ac:dyDescent="0.25">
      <c r="A59" t="s">
        <v>97</v>
      </c>
      <c r="B59" t="s">
        <v>36</v>
      </c>
      <c r="C59">
        <v>164</v>
      </c>
      <c r="D59">
        <v>55</v>
      </c>
      <c r="E59" t="s">
        <v>54</v>
      </c>
      <c r="F59" t="s">
        <v>6</v>
      </c>
      <c r="G59" t="s">
        <v>20</v>
      </c>
      <c r="H59" t="s">
        <v>44</v>
      </c>
      <c r="I59" t="s">
        <v>22</v>
      </c>
      <c r="J59" t="s">
        <v>23</v>
      </c>
      <c r="K59" t="s">
        <v>12</v>
      </c>
      <c r="L59" t="s">
        <v>19</v>
      </c>
      <c r="M59" t="s">
        <v>45</v>
      </c>
      <c r="N59" t="s">
        <v>46</v>
      </c>
      <c r="O59" t="s">
        <v>16</v>
      </c>
      <c r="P59" t="s">
        <v>49</v>
      </c>
      <c r="Q59" t="s">
        <v>26</v>
      </c>
      <c r="R59">
        <v>22.23</v>
      </c>
      <c r="S59" t="s">
        <v>152</v>
      </c>
      <c r="T59" t="s">
        <v>153</v>
      </c>
    </row>
    <row r="60" spans="1:20" x14ac:dyDescent="0.25">
      <c r="A60" t="s">
        <v>97</v>
      </c>
      <c r="B60" t="s">
        <v>36</v>
      </c>
      <c r="C60">
        <v>175</v>
      </c>
      <c r="D60">
        <v>95</v>
      </c>
      <c r="E60" t="s">
        <v>54</v>
      </c>
      <c r="F60" t="s">
        <v>6</v>
      </c>
      <c r="G60" t="s">
        <v>20</v>
      </c>
      <c r="H60" t="s">
        <v>9</v>
      </c>
      <c r="I60" t="s">
        <v>140</v>
      </c>
      <c r="J60" t="s">
        <v>11</v>
      </c>
      <c r="K60" t="s">
        <v>12</v>
      </c>
      <c r="L60" t="s">
        <v>32</v>
      </c>
      <c r="M60" t="s">
        <v>37</v>
      </c>
      <c r="N60" t="s">
        <v>15</v>
      </c>
      <c r="O60" t="s">
        <v>16</v>
      </c>
      <c r="P60" t="s">
        <v>25</v>
      </c>
      <c r="Q60" t="s">
        <v>26</v>
      </c>
      <c r="R60">
        <v>29.7</v>
      </c>
      <c r="S60" t="s">
        <v>157</v>
      </c>
      <c r="T60" t="s">
        <v>153</v>
      </c>
    </row>
    <row r="61" spans="1:20" x14ac:dyDescent="0.25">
      <c r="A61" t="s">
        <v>97</v>
      </c>
      <c r="B61" t="s">
        <v>4</v>
      </c>
      <c r="C61">
        <v>176</v>
      </c>
      <c r="D61">
        <v>92</v>
      </c>
      <c r="E61" t="s">
        <v>54</v>
      </c>
      <c r="F61" t="s">
        <v>44</v>
      </c>
      <c r="G61" t="s">
        <v>20</v>
      </c>
      <c r="H61" t="s">
        <v>44</v>
      </c>
      <c r="I61" t="s">
        <v>22</v>
      </c>
      <c r="J61" t="s">
        <v>23</v>
      </c>
      <c r="K61" t="s">
        <v>12</v>
      </c>
      <c r="L61" t="s">
        <v>19</v>
      </c>
      <c r="M61" t="s">
        <v>14</v>
      </c>
      <c r="N61" t="s">
        <v>46</v>
      </c>
      <c r="O61" t="s">
        <v>16</v>
      </c>
      <c r="P61" t="s">
        <v>49</v>
      </c>
      <c r="Q61" t="s">
        <v>26</v>
      </c>
      <c r="R61">
        <v>31.22</v>
      </c>
      <c r="S61" t="s">
        <v>158</v>
      </c>
      <c r="T61" t="s">
        <v>153</v>
      </c>
    </row>
    <row r="62" spans="1:20" x14ac:dyDescent="0.25">
      <c r="A62" t="s">
        <v>97</v>
      </c>
      <c r="B62" t="s">
        <v>36</v>
      </c>
      <c r="C62">
        <v>165</v>
      </c>
      <c r="D62">
        <v>85</v>
      </c>
      <c r="E62" t="s">
        <v>54</v>
      </c>
      <c r="F62" t="s">
        <v>11</v>
      </c>
      <c r="G62" t="s">
        <v>20</v>
      </c>
      <c r="H62" t="s">
        <v>44</v>
      </c>
      <c r="I62" t="s">
        <v>22</v>
      </c>
      <c r="J62" t="s">
        <v>23</v>
      </c>
      <c r="K62" t="s">
        <v>12</v>
      </c>
      <c r="L62" t="s">
        <v>19</v>
      </c>
      <c r="M62" t="s">
        <v>37</v>
      </c>
      <c r="N62" t="s">
        <v>46</v>
      </c>
      <c r="O62" t="s">
        <v>16</v>
      </c>
      <c r="P62" t="s">
        <v>25</v>
      </c>
      <c r="Q62" t="s">
        <v>26</v>
      </c>
      <c r="R62">
        <v>19.96</v>
      </c>
      <c r="S62" t="s">
        <v>152</v>
      </c>
      <c r="T62" t="s">
        <v>153</v>
      </c>
    </row>
    <row r="63" spans="1:20" x14ac:dyDescent="0.25">
      <c r="A63" t="s">
        <v>97</v>
      </c>
      <c r="B63" t="s">
        <v>36</v>
      </c>
      <c r="C63">
        <v>167</v>
      </c>
      <c r="D63">
        <v>68</v>
      </c>
      <c r="E63" t="s">
        <v>54</v>
      </c>
      <c r="F63" t="s">
        <v>11</v>
      </c>
      <c r="G63" t="s">
        <v>19</v>
      </c>
      <c r="H63" t="s">
        <v>9</v>
      </c>
      <c r="I63" t="s">
        <v>22</v>
      </c>
      <c r="J63" t="s">
        <v>23</v>
      </c>
      <c r="K63" t="s">
        <v>12</v>
      </c>
      <c r="L63" t="s">
        <v>19</v>
      </c>
      <c r="M63" t="s">
        <v>45</v>
      </c>
      <c r="N63" t="s">
        <v>46</v>
      </c>
      <c r="O63" t="s">
        <v>16</v>
      </c>
      <c r="P63" t="s">
        <v>25</v>
      </c>
      <c r="Q63" t="s">
        <v>26</v>
      </c>
      <c r="R63">
        <v>28.09</v>
      </c>
      <c r="S63" t="s">
        <v>157</v>
      </c>
      <c r="T63" t="s">
        <v>153</v>
      </c>
    </row>
    <row r="64" spans="1:20" x14ac:dyDescent="0.25">
      <c r="A64" t="s">
        <v>101</v>
      </c>
      <c r="B64" t="s">
        <v>36</v>
      </c>
      <c r="C64">
        <v>154</v>
      </c>
      <c r="D64">
        <v>34</v>
      </c>
      <c r="E64" t="s">
        <v>5</v>
      </c>
      <c r="F64" t="s">
        <v>44</v>
      </c>
      <c r="G64" t="s">
        <v>8</v>
      </c>
      <c r="H64" t="s">
        <v>44</v>
      </c>
      <c r="I64" t="s">
        <v>14</v>
      </c>
      <c r="J64" t="s">
        <v>23</v>
      </c>
      <c r="K64" t="s">
        <v>12</v>
      </c>
      <c r="L64" t="s">
        <v>19</v>
      </c>
      <c r="M64" t="s">
        <v>37</v>
      </c>
      <c r="N64" t="s">
        <v>38</v>
      </c>
      <c r="O64" t="s">
        <v>55</v>
      </c>
      <c r="P64" t="s">
        <v>17</v>
      </c>
      <c r="Q64" t="s">
        <v>26</v>
      </c>
      <c r="R64">
        <v>14.34</v>
      </c>
      <c r="S64" t="s">
        <v>156</v>
      </c>
      <c r="T64" t="s">
        <v>153</v>
      </c>
    </row>
    <row r="65" spans="1:20" x14ac:dyDescent="0.25">
      <c r="A65" t="s">
        <v>101</v>
      </c>
      <c r="B65" t="s">
        <v>4</v>
      </c>
      <c r="C65">
        <v>178</v>
      </c>
      <c r="D65">
        <v>90</v>
      </c>
      <c r="E65" t="s">
        <v>5</v>
      </c>
      <c r="F65" t="s">
        <v>44</v>
      </c>
      <c r="G65" t="s">
        <v>19</v>
      </c>
      <c r="H65" t="s">
        <v>44</v>
      </c>
      <c r="I65" t="s">
        <v>22</v>
      </c>
      <c r="J65" t="s">
        <v>23</v>
      </c>
      <c r="K65" t="s">
        <v>12</v>
      </c>
      <c r="L65" t="s">
        <v>19</v>
      </c>
      <c r="M65" t="s">
        <v>37</v>
      </c>
      <c r="N65" t="s">
        <v>38</v>
      </c>
      <c r="O65" t="s">
        <v>16</v>
      </c>
      <c r="P65" t="s">
        <v>25</v>
      </c>
      <c r="Q65" t="s">
        <v>26</v>
      </c>
      <c r="R65">
        <v>28.41</v>
      </c>
      <c r="S65" t="s">
        <v>157</v>
      </c>
      <c r="T65" t="s">
        <v>153</v>
      </c>
    </row>
    <row r="66" spans="1:20" x14ac:dyDescent="0.25">
      <c r="A66" t="s">
        <v>101</v>
      </c>
      <c r="B66" t="s">
        <v>4</v>
      </c>
      <c r="C66">
        <v>168</v>
      </c>
      <c r="D66">
        <v>56</v>
      </c>
      <c r="E66" t="s">
        <v>54</v>
      </c>
      <c r="F66" t="s">
        <v>44</v>
      </c>
      <c r="G66" t="s">
        <v>20</v>
      </c>
      <c r="H66" t="s">
        <v>44</v>
      </c>
      <c r="I66" t="s">
        <v>22</v>
      </c>
      <c r="J66" t="s">
        <v>23</v>
      </c>
      <c r="K66" t="s">
        <v>50</v>
      </c>
      <c r="L66" t="s">
        <v>19</v>
      </c>
      <c r="M66" t="s">
        <v>45</v>
      </c>
      <c r="N66" t="s">
        <v>15</v>
      </c>
      <c r="O66" t="s">
        <v>16</v>
      </c>
      <c r="P66" t="s">
        <v>49</v>
      </c>
      <c r="Q66" t="s">
        <v>26</v>
      </c>
      <c r="R66">
        <v>24.49</v>
      </c>
      <c r="S66" t="s">
        <v>152</v>
      </c>
      <c r="T66" t="s">
        <v>153</v>
      </c>
    </row>
    <row r="67" spans="1:20" x14ac:dyDescent="0.25">
      <c r="A67" t="s">
        <v>104</v>
      </c>
      <c r="B67" t="s">
        <v>4</v>
      </c>
      <c r="C67">
        <v>155</v>
      </c>
      <c r="D67">
        <v>49</v>
      </c>
      <c r="E67" t="s">
        <v>5</v>
      </c>
      <c r="F67" t="s">
        <v>19</v>
      </c>
      <c r="G67" t="s">
        <v>19</v>
      </c>
      <c r="H67" t="s">
        <v>9</v>
      </c>
      <c r="I67" t="s">
        <v>155</v>
      </c>
      <c r="J67" t="s">
        <v>11</v>
      </c>
      <c r="K67" t="s">
        <v>62</v>
      </c>
      <c r="L67" t="s">
        <v>24</v>
      </c>
      <c r="M67" t="s">
        <v>45</v>
      </c>
      <c r="N67" t="s">
        <v>46</v>
      </c>
      <c r="O67" t="s">
        <v>55</v>
      </c>
      <c r="P67" t="s">
        <v>25</v>
      </c>
      <c r="Q67" t="s">
        <v>26</v>
      </c>
      <c r="R67">
        <v>20.399999999999999</v>
      </c>
      <c r="S67" t="s">
        <v>152</v>
      </c>
      <c r="T67" t="s">
        <v>153</v>
      </c>
    </row>
    <row r="68" spans="1:20" x14ac:dyDescent="0.25">
      <c r="A68" t="s">
        <v>104</v>
      </c>
      <c r="B68" t="s">
        <v>4</v>
      </c>
      <c r="C68">
        <v>156</v>
      </c>
      <c r="D68">
        <v>58</v>
      </c>
      <c r="E68" t="s">
        <v>5</v>
      </c>
      <c r="F68" t="s">
        <v>6</v>
      </c>
      <c r="G68" t="s">
        <v>11</v>
      </c>
      <c r="H68" t="s">
        <v>21</v>
      </c>
      <c r="I68" t="s">
        <v>124</v>
      </c>
      <c r="J68" t="s">
        <v>11</v>
      </c>
      <c r="K68" t="s">
        <v>12</v>
      </c>
      <c r="L68" t="s">
        <v>13</v>
      </c>
      <c r="M68" t="s">
        <v>37</v>
      </c>
      <c r="N68" t="s">
        <v>65</v>
      </c>
      <c r="O68" t="s">
        <v>55</v>
      </c>
      <c r="P68" t="s">
        <v>17</v>
      </c>
      <c r="Q68" t="s">
        <v>26</v>
      </c>
      <c r="R68">
        <v>23.83</v>
      </c>
      <c r="S68" t="s">
        <v>152</v>
      </c>
      <c r="T68" t="s">
        <v>154</v>
      </c>
    </row>
    <row r="69" spans="1:20" x14ac:dyDescent="0.25">
      <c r="A69" t="s">
        <v>104</v>
      </c>
      <c r="B69" t="s">
        <v>4</v>
      </c>
      <c r="C69">
        <v>156</v>
      </c>
      <c r="D69">
        <v>43</v>
      </c>
      <c r="E69" t="s">
        <v>5</v>
      </c>
      <c r="F69" t="s">
        <v>19</v>
      </c>
      <c r="G69" t="s">
        <v>19</v>
      </c>
      <c r="H69" t="s">
        <v>9</v>
      </c>
      <c r="I69" t="s">
        <v>22</v>
      </c>
      <c r="J69" t="s">
        <v>23</v>
      </c>
      <c r="K69" t="s">
        <v>62</v>
      </c>
      <c r="L69" t="s">
        <v>19</v>
      </c>
      <c r="M69" t="s">
        <v>37</v>
      </c>
      <c r="N69" t="s">
        <v>38</v>
      </c>
      <c r="O69" t="s">
        <v>16</v>
      </c>
      <c r="P69" t="s">
        <v>48</v>
      </c>
      <c r="Q69" t="s">
        <v>26</v>
      </c>
      <c r="R69">
        <v>17.670000000000002</v>
      </c>
      <c r="S69" t="s">
        <v>156</v>
      </c>
      <c r="T69" t="s">
        <v>153</v>
      </c>
    </row>
    <row r="70" spans="1:20" x14ac:dyDescent="0.25">
      <c r="A70" t="s">
        <v>104</v>
      </c>
      <c r="B70" t="s">
        <v>4</v>
      </c>
      <c r="C70">
        <v>156</v>
      </c>
      <c r="D70">
        <v>42</v>
      </c>
      <c r="E70" t="s">
        <v>54</v>
      </c>
      <c r="F70" t="s">
        <v>7</v>
      </c>
      <c r="G70" t="s">
        <v>11</v>
      </c>
      <c r="H70" t="s">
        <v>21</v>
      </c>
      <c r="I70" t="s">
        <v>138</v>
      </c>
      <c r="J70" t="s">
        <v>11</v>
      </c>
      <c r="K70" t="s">
        <v>62</v>
      </c>
      <c r="L70" t="s">
        <v>13</v>
      </c>
      <c r="M70" t="s">
        <v>14</v>
      </c>
      <c r="N70" t="s">
        <v>15</v>
      </c>
      <c r="O70" t="s">
        <v>16</v>
      </c>
      <c r="P70" t="s">
        <v>17</v>
      </c>
      <c r="Q70" t="s">
        <v>26</v>
      </c>
      <c r="R70">
        <v>17.260000000000002</v>
      </c>
      <c r="S70" t="s">
        <v>156</v>
      </c>
      <c r="T70" t="s">
        <v>154</v>
      </c>
    </row>
    <row r="71" spans="1:20" x14ac:dyDescent="0.25">
      <c r="A71" t="s">
        <v>104</v>
      </c>
      <c r="B71" t="s">
        <v>4</v>
      </c>
      <c r="C71">
        <v>147</v>
      </c>
      <c r="D71">
        <v>35</v>
      </c>
      <c r="E71" t="s">
        <v>54</v>
      </c>
      <c r="F71" t="s">
        <v>19</v>
      </c>
      <c r="G71" t="s">
        <v>8</v>
      </c>
      <c r="H71" t="s">
        <v>9</v>
      </c>
      <c r="I71" t="s">
        <v>139</v>
      </c>
      <c r="J71" t="s">
        <v>23</v>
      </c>
      <c r="K71" t="s">
        <v>62</v>
      </c>
      <c r="L71" t="s">
        <v>19</v>
      </c>
      <c r="M71" t="s">
        <v>45</v>
      </c>
      <c r="N71" t="s">
        <v>15</v>
      </c>
      <c r="O71" t="s">
        <v>16</v>
      </c>
      <c r="P71" t="s">
        <v>25</v>
      </c>
      <c r="Q71" t="s">
        <v>26</v>
      </c>
      <c r="R71">
        <v>31.02</v>
      </c>
      <c r="S71" t="s">
        <v>158</v>
      </c>
      <c r="T71" t="s">
        <v>153</v>
      </c>
    </row>
    <row r="72" spans="1:20" x14ac:dyDescent="0.25">
      <c r="A72" t="s">
        <v>104</v>
      </c>
      <c r="B72" t="s">
        <v>4</v>
      </c>
      <c r="C72">
        <v>153</v>
      </c>
      <c r="D72">
        <v>53</v>
      </c>
      <c r="E72" t="s">
        <v>5</v>
      </c>
      <c r="F72" t="s">
        <v>6</v>
      </c>
      <c r="G72" t="s">
        <v>44</v>
      </c>
      <c r="H72" t="s">
        <v>9</v>
      </c>
      <c r="I72" t="s">
        <v>105</v>
      </c>
      <c r="J72" t="s">
        <v>43</v>
      </c>
      <c r="K72" t="s">
        <v>14</v>
      </c>
      <c r="L72" t="s">
        <v>44</v>
      </c>
      <c r="M72" t="s">
        <v>47</v>
      </c>
      <c r="N72" t="s">
        <v>15</v>
      </c>
      <c r="O72" t="s">
        <v>16</v>
      </c>
      <c r="P72" t="s">
        <v>14</v>
      </c>
      <c r="Q72" t="s">
        <v>26</v>
      </c>
      <c r="R72">
        <v>22.92</v>
      </c>
      <c r="S72" t="s">
        <v>152</v>
      </c>
      <c r="T72" t="s">
        <v>154</v>
      </c>
    </row>
    <row r="73" spans="1:20" x14ac:dyDescent="0.25">
      <c r="A73" t="s">
        <v>104</v>
      </c>
      <c r="B73" t="s">
        <v>36</v>
      </c>
      <c r="C73">
        <v>154</v>
      </c>
      <c r="D73">
        <v>61</v>
      </c>
      <c r="E73" t="s">
        <v>54</v>
      </c>
      <c r="F73" t="s">
        <v>7</v>
      </c>
      <c r="G73" t="s">
        <v>8</v>
      </c>
      <c r="H73" t="s">
        <v>72</v>
      </c>
      <c r="I73" t="s">
        <v>22</v>
      </c>
      <c r="J73" t="s">
        <v>11</v>
      </c>
      <c r="K73" t="s">
        <v>74</v>
      </c>
      <c r="L73" t="s">
        <v>13</v>
      </c>
      <c r="M73" t="s">
        <v>45</v>
      </c>
      <c r="N73" t="s">
        <v>15</v>
      </c>
      <c r="O73" t="s">
        <v>34</v>
      </c>
      <c r="P73" t="s">
        <v>48</v>
      </c>
      <c r="Q73" t="s">
        <v>26</v>
      </c>
      <c r="R73">
        <v>26.23</v>
      </c>
      <c r="S73" t="s">
        <v>157</v>
      </c>
      <c r="T73" t="s">
        <v>154</v>
      </c>
    </row>
    <row r="74" spans="1:20" x14ac:dyDescent="0.25">
      <c r="A74" t="s">
        <v>104</v>
      </c>
      <c r="B74" t="s">
        <v>4</v>
      </c>
      <c r="C74">
        <v>151</v>
      </c>
      <c r="D74">
        <v>49</v>
      </c>
      <c r="E74" t="s">
        <v>5</v>
      </c>
      <c r="F74" t="s">
        <v>6</v>
      </c>
      <c r="G74" t="s">
        <v>44</v>
      </c>
      <c r="H74" t="s">
        <v>9</v>
      </c>
      <c r="I74" t="s">
        <v>105</v>
      </c>
      <c r="J74" t="s">
        <v>43</v>
      </c>
      <c r="K74" t="s">
        <v>14</v>
      </c>
      <c r="L74" t="s">
        <v>44</v>
      </c>
      <c r="M74" t="s">
        <v>47</v>
      </c>
      <c r="N74" t="s">
        <v>15</v>
      </c>
      <c r="O74" t="s">
        <v>16</v>
      </c>
      <c r="P74" t="s">
        <v>14</v>
      </c>
      <c r="Q74" t="s">
        <v>26</v>
      </c>
      <c r="R74">
        <v>21.88</v>
      </c>
      <c r="S74" t="s">
        <v>152</v>
      </c>
      <c r="T74" t="s">
        <v>154</v>
      </c>
    </row>
    <row r="75" spans="1:20" x14ac:dyDescent="0.25">
      <c r="A75" t="s">
        <v>104</v>
      </c>
      <c r="B75" t="s">
        <v>4</v>
      </c>
      <c r="C75">
        <v>154</v>
      </c>
      <c r="D75">
        <v>64</v>
      </c>
      <c r="E75" t="s">
        <v>54</v>
      </c>
      <c r="F75" t="s">
        <v>7</v>
      </c>
      <c r="G75" t="s">
        <v>8</v>
      </c>
      <c r="H75" t="s">
        <v>72</v>
      </c>
      <c r="I75" t="s">
        <v>22</v>
      </c>
      <c r="J75" t="s">
        <v>11</v>
      </c>
      <c r="K75" t="s">
        <v>74</v>
      </c>
      <c r="L75" t="s">
        <v>13</v>
      </c>
      <c r="M75" t="s">
        <v>45</v>
      </c>
      <c r="N75" t="s">
        <v>15</v>
      </c>
      <c r="O75" t="s">
        <v>34</v>
      </c>
      <c r="P75" t="s">
        <v>48</v>
      </c>
      <c r="Q75" t="s">
        <v>26</v>
      </c>
      <c r="R75">
        <v>25.59</v>
      </c>
      <c r="S75" t="s">
        <v>157</v>
      </c>
      <c r="T75" t="s">
        <v>154</v>
      </c>
    </row>
    <row r="76" spans="1:20" x14ac:dyDescent="0.25">
      <c r="A76" t="s">
        <v>3</v>
      </c>
      <c r="B76" t="s">
        <v>4</v>
      </c>
      <c r="C76">
        <v>165</v>
      </c>
      <c r="D76">
        <v>72</v>
      </c>
      <c r="E76" t="s">
        <v>5</v>
      </c>
      <c r="F76" t="s">
        <v>7</v>
      </c>
      <c r="G76" t="s">
        <v>8</v>
      </c>
      <c r="H76" t="s">
        <v>9</v>
      </c>
      <c r="I76" t="s">
        <v>10</v>
      </c>
      <c r="J76" t="s">
        <v>11</v>
      </c>
      <c r="K76" t="s">
        <v>12</v>
      </c>
      <c r="L76" t="s">
        <v>13</v>
      </c>
      <c r="M76" t="s">
        <v>14</v>
      </c>
      <c r="N76" t="s">
        <v>15</v>
      </c>
      <c r="O76" t="s">
        <v>16</v>
      </c>
      <c r="P76" t="s">
        <v>17</v>
      </c>
      <c r="Q76" t="s">
        <v>18</v>
      </c>
      <c r="R76">
        <v>26.45</v>
      </c>
      <c r="S76" t="s">
        <v>157</v>
      </c>
      <c r="T76" t="s">
        <v>154</v>
      </c>
    </row>
    <row r="77" spans="1:20" x14ac:dyDescent="0.25">
      <c r="A77" t="s">
        <v>3</v>
      </c>
      <c r="B77" t="s">
        <v>4</v>
      </c>
      <c r="C77">
        <v>175</v>
      </c>
      <c r="D77">
        <v>75</v>
      </c>
      <c r="E77" t="s">
        <v>5</v>
      </c>
      <c r="F77" t="s">
        <v>7</v>
      </c>
      <c r="G77" t="s">
        <v>8</v>
      </c>
      <c r="H77" t="s">
        <v>30</v>
      </c>
      <c r="I77" t="s">
        <v>159</v>
      </c>
      <c r="J77" t="s">
        <v>11</v>
      </c>
      <c r="K77" t="s">
        <v>31</v>
      </c>
      <c r="L77" t="s">
        <v>32</v>
      </c>
      <c r="M77" t="s">
        <v>33</v>
      </c>
      <c r="N77" t="s">
        <v>15</v>
      </c>
      <c r="O77" t="s">
        <v>34</v>
      </c>
      <c r="P77" t="s">
        <v>35</v>
      </c>
      <c r="Q77" t="s">
        <v>18</v>
      </c>
      <c r="R77">
        <v>24.49</v>
      </c>
      <c r="S77" t="s">
        <v>152</v>
      </c>
      <c r="T77" t="s">
        <v>153</v>
      </c>
    </row>
    <row r="78" spans="1:20" x14ac:dyDescent="0.25">
      <c r="A78" t="s">
        <v>3</v>
      </c>
      <c r="B78" t="s">
        <v>36</v>
      </c>
      <c r="C78">
        <v>180</v>
      </c>
      <c r="D78">
        <v>62</v>
      </c>
      <c r="E78" t="s">
        <v>5</v>
      </c>
      <c r="F78" t="s">
        <v>7</v>
      </c>
      <c r="G78" t="s">
        <v>8</v>
      </c>
      <c r="H78" t="s">
        <v>30</v>
      </c>
      <c r="I78" t="s">
        <v>10</v>
      </c>
      <c r="J78" t="s">
        <v>11</v>
      </c>
      <c r="K78" t="s">
        <v>12</v>
      </c>
      <c r="L78" t="s">
        <v>13</v>
      </c>
      <c r="M78" t="s">
        <v>37</v>
      </c>
      <c r="N78" t="s">
        <v>38</v>
      </c>
      <c r="O78" t="s">
        <v>34</v>
      </c>
      <c r="P78" t="s">
        <v>17</v>
      </c>
      <c r="Q78" t="s">
        <v>39</v>
      </c>
      <c r="R78">
        <v>19.14</v>
      </c>
      <c r="S78" t="s">
        <v>152</v>
      </c>
      <c r="T78" t="s">
        <v>154</v>
      </c>
    </row>
    <row r="79" spans="1:20" x14ac:dyDescent="0.25">
      <c r="A79" t="s">
        <v>3</v>
      </c>
      <c r="B79" t="s">
        <v>4</v>
      </c>
      <c r="C79">
        <v>172</v>
      </c>
      <c r="D79">
        <v>65</v>
      </c>
      <c r="E79" t="s">
        <v>5</v>
      </c>
      <c r="F79" t="s">
        <v>11</v>
      </c>
      <c r="G79" t="s">
        <v>20</v>
      </c>
      <c r="H79" t="s">
        <v>40</v>
      </c>
      <c r="I79" t="s">
        <v>14</v>
      </c>
      <c r="J79" t="s">
        <v>23</v>
      </c>
      <c r="K79" t="s">
        <v>41</v>
      </c>
      <c r="L79" t="s">
        <v>24</v>
      </c>
      <c r="M79" t="s">
        <v>14</v>
      </c>
      <c r="N79" t="s">
        <v>15</v>
      </c>
      <c r="O79" t="s">
        <v>16</v>
      </c>
      <c r="P79" t="s">
        <v>17</v>
      </c>
      <c r="Q79" t="s">
        <v>42</v>
      </c>
      <c r="R79">
        <v>21.97</v>
      </c>
      <c r="S79" t="s">
        <v>152</v>
      </c>
      <c r="T79" t="s">
        <v>153</v>
      </c>
    </row>
    <row r="80" spans="1:20" x14ac:dyDescent="0.25">
      <c r="A80" t="s">
        <v>3</v>
      </c>
      <c r="B80" t="s">
        <v>4</v>
      </c>
      <c r="C80">
        <v>176</v>
      </c>
      <c r="D80">
        <v>88</v>
      </c>
      <c r="E80" t="s">
        <v>54</v>
      </c>
      <c r="F80" t="s">
        <v>7</v>
      </c>
      <c r="G80" t="s">
        <v>19</v>
      </c>
      <c r="H80" t="s">
        <v>30</v>
      </c>
      <c r="I80" t="s">
        <v>132</v>
      </c>
      <c r="J80" t="s">
        <v>23</v>
      </c>
      <c r="K80" t="s">
        <v>52</v>
      </c>
      <c r="L80" t="s">
        <v>24</v>
      </c>
      <c r="M80" t="s">
        <v>14</v>
      </c>
      <c r="N80" t="s">
        <v>15</v>
      </c>
      <c r="O80" t="s">
        <v>16</v>
      </c>
      <c r="P80" t="s">
        <v>17</v>
      </c>
      <c r="Q80" t="s">
        <v>42</v>
      </c>
      <c r="R80">
        <v>28.41</v>
      </c>
      <c r="S80" t="s">
        <v>157</v>
      </c>
      <c r="T80" t="s">
        <v>153</v>
      </c>
    </row>
    <row r="81" spans="1:20" x14ac:dyDescent="0.25">
      <c r="A81" t="s">
        <v>3</v>
      </c>
      <c r="B81" t="s">
        <v>4</v>
      </c>
      <c r="C81">
        <v>186</v>
      </c>
      <c r="D81">
        <v>84</v>
      </c>
      <c r="E81" t="s">
        <v>54</v>
      </c>
      <c r="F81" t="s">
        <v>7</v>
      </c>
      <c r="G81" t="s">
        <v>19</v>
      </c>
      <c r="H81" t="s">
        <v>30</v>
      </c>
      <c r="I81" t="s">
        <v>56</v>
      </c>
      <c r="J81" t="s">
        <v>23</v>
      </c>
      <c r="K81" t="s">
        <v>57</v>
      </c>
      <c r="L81" t="s">
        <v>19</v>
      </c>
      <c r="M81" t="s">
        <v>14</v>
      </c>
      <c r="N81" t="s">
        <v>15</v>
      </c>
      <c r="O81" t="s">
        <v>16</v>
      </c>
      <c r="P81" t="s">
        <v>17</v>
      </c>
      <c r="Q81" t="s">
        <v>44</v>
      </c>
      <c r="R81">
        <v>24.28</v>
      </c>
      <c r="S81" t="s">
        <v>152</v>
      </c>
      <c r="T81" t="s">
        <v>153</v>
      </c>
    </row>
    <row r="82" spans="1:20" x14ac:dyDescent="0.25">
      <c r="A82" t="s">
        <v>3</v>
      </c>
      <c r="B82" t="s">
        <v>4</v>
      </c>
      <c r="C82">
        <v>165</v>
      </c>
      <c r="D82">
        <v>86</v>
      </c>
      <c r="E82" t="s">
        <v>54</v>
      </c>
      <c r="F82" t="s">
        <v>7</v>
      </c>
      <c r="G82" t="s">
        <v>8</v>
      </c>
      <c r="H82" t="s">
        <v>9</v>
      </c>
      <c r="I82" t="s">
        <v>133</v>
      </c>
      <c r="J82" t="s">
        <v>23</v>
      </c>
      <c r="K82" t="s">
        <v>28</v>
      </c>
      <c r="L82" t="s">
        <v>32</v>
      </c>
      <c r="M82" t="s">
        <v>53</v>
      </c>
      <c r="N82" t="s">
        <v>15</v>
      </c>
      <c r="O82" t="s">
        <v>55</v>
      </c>
      <c r="P82" t="s">
        <v>17</v>
      </c>
      <c r="Q82" t="s">
        <v>44</v>
      </c>
      <c r="R82">
        <v>31.59</v>
      </c>
      <c r="S82" t="s">
        <v>158</v>
      </c>
      <c r="T82" t="s">
        <v>153</v>
      </c>
    </row>
    <row r="83" spans="1:20" x14ac:dyDescent="0.25">
      <c r="A83" t="s">
        <v>3</v>
      </c>
      <c r="B83" t="s">
        <v>4</v>
      </c>
      <c r="C83">
        <v>167.5</v>
      </c>
      <c r="D83">
        <v>63</v>
      </c>
      <c r="E83" t="s">
        <v>54</v>
      </c>
      <c r="F83" t="s">
        <v>11</v>
      </c>
      <c r="G83" t="s">
        <v>19</v>
      </c>
      <c r="H83" t="s">
        <v>30</v>
      </c>
      <c r="I83" t="s">
        <v>137</v>
      </c>
      <c r="J83" t="s">
        <v>23</v>
      </c>
      <c r="K83" t="s">
        <v>59</v>
      </c>
      <c r="L83" t="s">
        <v>24</v>
      </c>
      <c r="M83" t="s">
        <v>14</v>
      </c>
      <c r="N83" t="s">
        <v>15</v>
      </c>
      <c r="O83" t="s">
        <v>34</v>
      </c>
      <c r="P83" t="s">
        <v>17</v>
      </c>
      <c r="Q83" t="s">
        <v>42</v>
      </c>
      <c r="R83">
        <v>22.45</v>
      </c>
      <c r="S83" t="s">
        <v>152</v>
      </c>
      <c r="T83" t="s">
        <v>153</v>
      </c>
    </row>
    <row r="84" spans="1:20" x14ac:dyDescent="0.25">
      <c r="A84" t="s">
        <v>3</v>
      </c>
      <c r="B84" t="s">
        <v>36</v>
      </c>
      <c r="C84">
        <v>162</v>
      </c>
      <c r="D84">
        <v>43</v>
      </c>
      <c r="E84" t="s">
        <v>54</v>
      </c>
      <c r="F84" t="s">
        <v>7</v>
      </c>
      <c r="G84" t="s">
        <v>8</v>
      </c>
      <c r="H84" t="s">
        <v>30</v>
      </c>
      <c r="I84" t="s">
        <v>10</v>
      </c>
      <c r="J84" t="s">
        <v>43</v>
      </c>
      <c r="K84" t="s">
        <v>12</v>
      </c>
      <c r="L84" t="s">
        <v>13</v>
      </c>
      <c r="M84" t="s">
        <v>60</v>
      </c>
      <c r="N84" t="s">
        <v>38</v>
      </c>
      <c r="O84" t="s">
        <v>34</v>
      </c>
      <c r="P84" t="s">
        <v>17</v>
      </c>
      <c r="Q84" t="s">
        <v>44</v>
      </c>
      <c r="R84">
        <v>16.38</v>
      </c>
      <c r="S84" t="s">
        <v>156</v>
      </c>
      <c r="T84" t="s">
        <v>154</v>
      </c>
    </row>
    <row r="85" spans="1:20" x14ac:dyDescent="0.25">
      <c r="A85" t="s">
        <v>3</v>
      </c>
      <c r="B85" t="s">
        <v>4</v>
      </c>
      <c r="C85">
        <v>180</v>
      </c>
      <c r="D85">
        <v>82</v>
      </c>
      <c r="E85" t="s">
        <v>54</v>
      </c>
      <c r="F85" t="s">
        <v>19</v>
      </c>
      <c r="G85" t="s">
        <v>11</v>
      </c>
      <c r="H85" t="s">
        <v>40</v>
      </c>
      <c r="I85" t="s">
        <v>14</v>
      </c>
      <c r="J85" t="s">
        <v>43</v>
      </c>
      <c r="K85" t="s">
        <v>14</v>
      </c>
      <c r="L85" t="s">
        <v>44</v>
      </c>
      <c r="M85" t="s">
        <v>14</v>
      </c>
      <c r="N85" t="s">
        <v>46</v>
      </c>
      <c r="O85" t="s">
        <v>16</v>
      </c>
      <c r="P85" t="s">
        <v>17</v>
      </c>
      <c r="Q85" t="s">
        <v>44</v>
      </c>
      <c r="R85">
        <v>25.31</v>
      </c>
      <c r="S85" t="s">
        <v>157</v>
      </c>
      <c r="T85" t="s">
        <v>154</v>
      </c>
    </row>
    <row r="86" spans="1:20" x14ac:dyDescent="0.25">
      <c r="A86" t="s">
        <v>3</v>
      </c>
      <c r="B86" t="s">
        <v>4</v>
      </c>
      <c r="C86">
        <v>165</v>
      </c>
      <c r="D86">
        <v>54</v>
      </c>
      <c r="E86" t="s">
        <v>54</v>
      </c>
      <c r="F86" t="s">
        <v>19</v>
      </c>
      <c r="G86" t="s">
        <v>8</v>
      </c>
      <c r="H86" t="s">
        <v>21</v>
      </c>
      <c r="I86" t="s">
        <v>10</v>
      </c>
      <c r="J86" t="s">
        <v>23</v>
      </c>
      <c r="K86" t="s">
        <v>61</v>
      </c>
      <c r="L86" t="s">
        <v>32</v>
      </c>
      <c r="M86" t="s">
        <v>47</v>
      </c>
      <c r="N86" t="s">
        <v>38</v>
      </c>
      <c r="O86" t="s">
        <v>34</v>
      </c>
      <c r="P86" t="s">
        <v>17</v>
      </c>
      <c r="Q86" t="s">
        <v>42</v>
      </c>
      <c r="R86">
        <v>19.829999999999998</v>
      </c>
      <c r="S86" t="s">
        <v>152</v>
      </c>
      <c r="T86" t="s">
        <v>153</v>
      </c>
    </row>
    <row r="87" spans="1:20" x14ac:dyDescent="0.25">
      <c r="A87" t="s">
        <v>3</v>
      </c>
      <c r="B87" t="s">
        <v>36</v>
      </c>
      <c r="C87">
        <v>168</v>
      </c>
      <c r="D87">
        <v>64</v>
      </c>
      <c r="E87" t="s">
        <v>54</v>
      </c>
      <c r="F87" t="s">
        <v>11</v>
      </c>
      <c r="G87" t="s">
        <v>20</v>
      </c>
      <c r="H87" t="s">
        <v>40</v>
      </c>
      <c r="I87" t="s">
        <v>14</v>
      </c>
      <c r="J87" t="s">
        <v>23</v>
      </c>
      <c r="K87" t="s">
        <v>28</v>
      </c>
      <c r="L87" t="s">
        <v>24</v>
      </c>
      <c r="M87" t="s">
        <v>14</v>
      </c>
      <c r="N87" t="s">
        <v>15</v>
      </c>
      <c r="O87" t="s">
        <v>55</v>
      </c>
      <c r="P87" t="s">
        <v>48</v>
      </c>
      <c r="Q87" t="s">
        <v>39</v>
      </c>
      <c r="R87">
        <v>22.68</v>
      </c>
      <c r="S87" t="s">
        <v>152</v>
      </c>
      <c r="T87" t="s">
        <v>153</v>
      </c>
    </row>
    <row r="88" spans="1:20" x14ac:dyDescent="0.25">
      <c r="A88" t="s">
        <v>3</v>
      </c>
      <c r="B88" t="s">
        <v>4</v>
      </c>
      <c r="C88">
        <v>165</v>
      </c>
      <c r="D88">
        <v>54</v>
      </c>
      <c r="E88" t="s">
        <v>54</v>
      </c>
      <c r="F88" t="s">
        <v>7</v>
      </c>
      <c r="G88" t="s">
        <v>20</v>
      </c>
      <c r="H88" t="s">
        <v>30</v>
      </c>
      <c r="I88" t="s">
        <v>22</v>
      </c>
      <c r="J88" t="s">
        <v>23</v>
      </c>
      <c r="K88" t="s">
        <v>61</v>
      </c>
      <c r="L88" t="s">
        <v>32</v>
      </c>
      <c r="M88" t="s">
        <v>64</v>
      </c>
      <c r="N88" t="s">
        <v>38</v>
      </c>
      <c r="O88" t="s">
        <v>34</v>
      </c>
      <c r="P88" t="s">
        <v>17</v>
      </c>
      <c r="Q88" t="s">
        <v>42</v>
      </c>
      <c r="R88">
        <v>19.05</v>
      </c>
      <c r="S88" t="s">
        <v>152</v>
      </c>
      <c r="T88" t="s">
        <v>153</v>
      </c>
    </row>
    <row r="89" spans="1:20" x14ac:dyDescent="0.25">
      <c r="A89" t="s">
        <v>3</v>
      </c>
      <c r="B89" t="s">
        <v>4</v>
      </c>
      <c r="C89">
        <v>173</v>
      </c>
      <c r="D89">
        <v>57</v>
      </c>
      <c r="E89" t="s">
        <v>54</v>
      </c>
      <c r="F89" t="s">
        <v>19</v>
      </c>
      <c r="G89" t="s">
        <v>19</v>
      </c>
      <c r="H89" t="s">
        <v>21</v>
      </c>
      <c r="I89" t="s">
        <v>10</v>
      </c>
      <c r="J89" t="s">
        <v>23</v>
      </c>
      <c r="K89" t="s">
        <v>62</v>
      </c>
      <c r="L89" t="s">
        <v>19</v>
      </c>
      <c r="M89" t="s">
        <v>51</v>
      </c>
      <c r="N89" t="s">
        <v>65</v>
      </c>
      <c r="O89" t="s">
        <v>34</v>
      </c>
      <c r="P89" t="s">
        <v>25</v>
      </c>
      <c r="Q89" t="s">
        <v>42</v>
      </c>
      <c r="R89">
        <v>22.04</v>
      </c>
      <c r="S89" t="s">
        <v>152</v>
      </c>
      <c r="T89" t="s">
        <v>153</v>
      </c>
    </row>
    <row r="90" spans="1:20" x14ac:dyDescent="0.25">
      <c r="A90" t="s">
        <v>3</v>
      </c>
      <c r="B90" t="s">
        <v>4</v>
      </c>
      <c r="C90">
        <v>174</v>
      </c>
      <c r="D90">
        <v>54</v>
      </c>
      <c r="E90" t="s">
        <v>66</v>
      </c>
      <c r="F90" t="s">
        <v>7</v>
      </c>
      <c r="G90" t="s">
        <v>8</v>
      </c>
      <c r="H90" t="s">
        <v>21</v>
      </c>
      <c r="I90" t="s">
        <v>160</v>
      </c>
      <c r="J90" t="s">
        <v>11</v>
      </c>
      <c r="K90" t="s">
        <v>12</v>
      </c>
      <c r="L90" t="s">
        <v>32</v>
      </c>
      <c r="M90" t="s">
        <v>64</v>
      </c>
      <c r="N90" t="s">
        <v>38</v>
      </c>
      <c r="O90" t="s">
        <v>34</v>
      </c>
      <c r="P90" t="s">
        <v>17</v>
      </c>
      <c r="Q90" t="s">
        <v>18</v>
      </c>
      <c r="R90">
        <v>19.38</v>
      </c>
      <c r="S90" t="s">
        <v>152</v>
      </c>
      <c r="T90" t="s">
        <v>153</v>
      </c>
    </row>
    <row r="91" spans="1:20" x14ac:dyDescent="0.25">
      <c r="A91" t="s">
        <v>3</v>
      </c>
      <c r="B91" t="s">
        <v>36</v>
      </c>
      <c r="C91">
        <v>170</v>
      </c>
      <c r="D91">
        <v>56</v>
      </c>
      <c r="E91" t="s">
        <v>66</v>
      </c>
      <c r="F91" t="s">
        <v>7</v>
      </c>
      <c r="G91" t="s">
        <v>8</v>
      </c>
      <c r="H91" t="s">
        <v>21</v>
      </c>
      <c r="I91" t="s">
        <v>127</v>
      </c>
      <c r="J91" t="s">
        <v>23</v>
      </c>
      <c r="K91" t="s">
        <v>61</v>
      </c>
      <c r="L91" t="s">
        <v>24</v>
      </c>
      <c r="M91" t="s">
        <v>53</v>
      </c>
      <c r="N91" t="s">
        <v>38</v>
      </c>
      <c r="O91" t="s">
        <v>55</v>
      </c>
      <c r="P91" t="s">
        <v>67</v>
      </c>
      <c r="Q91" t="s">
        <v>18</v>
      </c>
      <c r="R91">
        <v>17.510000000000002</v>
      </c>
      <c r="S91" t="s">
        <v>156</v>
      </c>
      <c r="T91" t="s">
        <v>153</v>
      </c>
    </row>
    <row r="92" spans="1:20" x14ac:dyDescent="0.25">
      <c r="A92" t="s">
        <v>3</v>
      </c>
      <c r="B92" t="s">
        <v>36</v>
      </c>
      <c r="C92">
        <v>170</v>
      </c>
      <c r="D92">
        <v>56</v>
      </c>
      <c r="E92" t="s">
        <v>66</v>
      </c>
      <c r="F92" t="s">
        <v>7</v>
      </c>
      <c r="G92" t="s">
        <v>8</v>
      </c>
      <c r="H92" t="s">
        <v>21</v>
      </c>
      <c r="I92" t="s">
        <v>160</v>
      </c>
      <c r="J92" t="s">
        <v>23</v>
      </c>
      <c r="K92" t="s">
        <v>61</v>
      </c>
      <c r="L92" t="s">
        <v>24</v>
      </c>
      <c r="M92" t="s">
        <v>53</v>
      </c>
      <c r="N92" t="s">
        <v>38</v>
      </c>
      <c r="O92" t="s">
        <v>55</v>
      </c>
      <c r="P92" t="s">
        <v>68</v>
      </c>
      <c r="Q92" t="s">
        <v>18</v>
      </c>
      <c r="R92">
        <v>22.64</v>
      </c>
      <c r="S92" t="s">
        <v>152</v>
      </c>
      <c r="T92" t="s">
        <v>153</v>
      </c>
    </row>
    <row r="93" spans="1:20" x14ac:dyDescent="0.25">
      <c r="A93" t="s">
        <v>3</v>
      </c>
      <c r="B93" t="s">
        <v>36</v>
      </c>
      <c r="C93">
        <v>176</v>
      </c>
      <c r="D93">
        <v>71</v>
      </c>
      <c r="E93" t="s">
        <v>66</v>
      </c>
      <c r="F93" t="s">
        <v>11</v>
      </c>
      <c r="G93" t="s">
        <v>11</v>
      </c>
      <c r="H93" t="s">
        <v>44</v>
      </c>
      <c r="I93" t="s">
        <v>69</v>
      </c>
      <c r="J93" t="s">
        <v>11</v>
      </c>
      <c r="K93" t="s">
        <v>70</v>
      </c>
      <c r="L93" t="s">
        <v>13</v>
      </c>
      <c r="M93" t="s">
        <v>14</v>
      </c>
      <c r="N93" t="s">
        <v>38</v>
      </c>
      <c r="O93" t="s">
        <v>16</v>
      </c>
      <c r="P93" t="s">
        <v>71</v>
      </c>
      <c r="Q93" t="s">
        <v>44</v>
      </c>
      <c r="R93">
        <v>28.73</v>
      </c>
      <c r="S93" t="s">
        <v>157</v>
      </c>
      <c r="T93" t="s">
        <v>154</v>
      </c>
    </row>
    <row r="94" spans="1:20" x14ac:dyDescent="0.25">
      <c r="A94" t="s">
        <v>3</v>
      </c>
      <c r="B94" t="s">
        <v>36</v>
      </c>
      <c r="C94">
        <v>166</v>
      </c>
      <c r="D94">
        <v>55</v>
      </c>
      <c r="E94" t="s">
        <v>5</v>
      </c>
      <c r="F94" t="s">
        <v>7</v>
      </c>
      <c r="G94" t="s">
        <v>8</v>
      </c>
      <c r="H94" t="s">
        <v>72</v>
      </c>
      <c r="I94" t="s">
        <v>22</v>
      </c>
      <c r="J94" t="s">
        <v>11</v>
      </c>
      <c r="K94" t="s">
        <v>74</v>
      </c>
      <c r="L94" t="s">
        <v>13</v>
      </c>
      <c r="M94" t="s">
        <v>45</v>
      </c>
      <c r="N94" t="s">
        <v>15</v>
      </c>
      <c r="O94" t="s">
        <v>55</v>
      </c>
      <c r="P94" t="s">
        <v>48</v>
      </c>
      <c r="Q94" t="s">
        <v>39</v>
      </c>
      <c r="R94">
        <v>14.36</v>
      </c>
      <c r="S94" t="s">
        <v>156</v>
      </c>
      <c r="T94" t="s">
        <v>154</v>
      </c>
    </row>
    <row r="95" spans="1:20" x14ac:dyDescent="0.25">
      <c r="A95" t="s">
        <v>3</v>
      </c>
      <c r="B95" t="s">
        <v>36</v>
      </c>
      <c r="C95">
        <v>167</v>
      </c>
      <c r="D95">
        <v>57</v>
      </c>
      <c r="E95" t="s">
        <v>5</v>
      </c>
      <c r="F95" t="s">
        <v>7</v>
      </c>
      <c r="G95" t="s">
        <v>8</v>
      </c>
      <c r="H95" t="s">
        <v>72</v>
      </c>
      <c r="I95" t="s">
        <v>22</v>
      </c>
      <c r="J95" t="s">
        <v>11</v>
      </c>
      <c r="K95" t="s">
        <v>74</v>
      </c>
      <c r="L95" t="s">
        <v>13</v>
      </c>
      <c r="M95" t="s">
        <v>45</v>
      </c>
      <c r="N95" t="s">
        <v>15</v>
      </c>
      <c r="O95" t="s">
        <v>55</v>
      </c>
      <c r="P95" t="s">
        <v>48</v>
      </c>
      <c r="Q95" t="s">
        <v>39</v>
      </c>
      <c r="R95">
        <v>21.49</v>
      </c>
      <c r="S95" t="s">
        <v>152</v>
      </c>
      <c r="T95" t="s">
        <v>154</v>
      </c>
    </row>
    <row r="96" spans="1:20" x14ac:dyDescent="0.25">
      <c r="A96" t="s">
        <v>3</v>
      </c>
      <c r="B96" t="s">
        <v>36</v>
      </c>
      <c r="C96">
        <v>175</v>
      </c>
      <c r="D96">
        <v>67</v>
      </c>
      <c r="E96" t="s">
        <v>66</v>
      </c>
      <c r="F96" t="s">
        <v>11</v>
      </c>
      <c r="G96" t="s">
        <v>11</v>
      </c>
      <c r="H96" t="s">
        <v>44</v>
      </c>
      <c r="I96" t="s">
        <v>69</v>
      </c>
      <c r="J96" t="s">
        <v>11</v>
      </c>
      <c r="K96" t="s">
        <v>70</v>
      </c>
      <c r="L96" t="s">
        <v>13</v>
      </c>
      <c r="M96" t="s">
        <v>14</v>
      </c>
      <c r="N96" t="s">
        <v>38</v>
      </c>
      <c r="O96" t="s">
        <v>16</v>
      </c>
      <c r="P96" t="s">
        <v>71</v>
      </c>
      <c r="Q96" t="s">
        <v>44</v>
      </c>
      <c r="R96">
        <v>28.31</v>
      </c>
      <c r="S96" t="s">
        <v>157</v>
      </c>
      <c r="T96" t="s">
        <v>154</v>
      </c>
    </row>
    <row r="97" spans="1:20" x14ac:dyDescent="0.25">
      <c r="A97" t="s">
        <v>3</v>
      </c>
      <c r="B97" t="s">
        <v>4</v>
      </c>
      <c r="C97">
        <v>156</v>
      </c>
      <c r="D97">
        <v>64</v>
      </c>
      <c r="E97" t="s">
        <v>5</v>
      </c>
      <c r="F97" t="s">
        <v>7</v>
      </c>
      <c r="G97" t="s">
        <v>20</v>
      </c>
      <c r="H97" t="s">
        <v>27</v>
      </c>
      <c r="I97" t="s">
        <v>10</v>
      </c>
      <c r="J97" t="s">
        <v>23</v>
      </c>
      <c r="K97" t="s">
        <v>73</v>
      </c>
      <c r="L97" t="s">
        <v>19</v>
      </c>
      <c r="M97" t="s">
        <v>14</v>
      </c>
      <c r="N97" t="s">
        <v>38</v>
      </c>
      <c r="O97" t="s">
        <v>16</v>
      </c>
      <c r="P97" t="s">
        <v>25</v>
      </c>
      <c r="Q97" t="s">
        <v>42</v>
      </c>
      <c r="R97">
        <v>19.96</v>
      </c>
      <c r="S97" t="s">
        <v>152</v>
      </c>
      <c r="T97" t="s">
        <v>153</v>
      </c>
    </row>
    <row r="98" spans="1:20" x14ac:dyDescent="0.25">
      <c r="A98" t="s">
        <v>3</v>
      </c>
      <c r="B98" t="s">
        <v>36</v>
      </c>
      <c r="C98">
        <v>166</v>
      </c>
      <c r="D98">
        <v>55</v>
      </c>
      <c r="E98" t="s">
        <v>5</v>
      </c>
      <c r="F98" t="s">
        <v>7</v>
      </c>
      <c r="G98" t="s">
        <v>8</v>
      </c>
      <c r="H98" t="s">
        <v>72</v>
      </c>
      <c r="I98" t="s">
        <v>22</v>
      </c>
      <c r="J98" t="s">
        <v>11</v>
      </c>
      <c r="K98" t="s">
        <v>74</v>
      </c>
      <c r="L98" t="s">
        <v>13</v>
      </c>
      <c r="M98" t="s">
        <v>45</v>
      </c>
      <c r="N98" t="s">
        <v>15</v>
      </c>
      <c r="O98" t="s">
        <v>55</v>
      </c>
      <c r="P98" t="s">
        <v>48</v>
      </c>
      <c r="Q98" t="s">
        <v>39</v>
      </c>
      <c r="R98">
        <v>15.06</v>
      </c>
      <c r="S98" t="s">
        <v>156</v>
      </c>
      <c r="T98" t="s">
        <v>154</v>
      </c>
    </row>
    <row r="99" spans="1:20" x14ac:dyDescent="0.25">
      <c r="A99" t="s">
        <v>83</v>
      </c>
      <c r="B99" t="s">
        <v>4</v>
      </c>
      <c r="C99">
        <v>176</v>
      </c>
      <c r="D99">
        <v>79</v>
      </c>
      <c r="E99" t="s">
        <v>5</v>
      </c>
      <c r="F99" t="s">
        <v>7</v>
      </c>
      <c r="G99" t="s">
        <v>20</v>
      </c>
      <c r="H99" t="s">
        <v>44</v>
      </c>
      <c r="I99" t="s">
        <v>22</v>
      </c>
      <c r="J99" t="s">
        <v>23</v>
      </c>
      <c r="K99" t="s">
        <v>50</v>
      </c>
      <c r="L99" t="s">
        <v>19</v>
      </c>
      <c r="M99" t="s">
        <v>53</v>
      </c>
      <c r="N99" t="s">
        <v>38</v>
      </c>
      <c r="O99" t="s">
        <v>16</v>
      </c>
      <c r="P99" t="s">
        <v>25</v>
      </c>
      <c r="Q99" t="s">
        <v>39</v>
      </c>
      <c r="R99">
        <v>25.5</v>
      </c>
      <c r="S99" t="s">
        <v>157</v>
      </c>
      <c r="T99" t="s">
        <v>153</v>
      </c>
    </row>
    <row r="100" spans="1:20" x14ac:dyDescent="0.25">
      <c r="A100" t="s">
        <v>83</v>
      </c>
      <c r="B100" t="s">
        <v>36</v>
      </c>
      <c r="C100">
        <v>168</v>
      </c>
      <c r="D100">
        <v>73</v>
      </c>
      <c r="E100" t="s">
        <v>5</v>
      </c>
      <c r="F100" t="s">
        <v>11</v>
      </c>
      <c r="G100" t="s">
        <v>20</v>
      </c>
      <c r="H100" t="s">
        <v>44</v>
      </c>
      <c r="I100" t="s">
        <v>22</v>
      </c>
      <c r="J100" t="s">
        <v>23</v>
      </c>
      <c r="K100" t="s">
        <v>12</v>
      </c>
      <c r="L100" t="s">
        <v>19</v>
      </c>
      <c r="M100" t="s">
        <v>53</v>
      </c>
      <c r="N100" t="s">
        <v>46</v>
      </c>
      <c r="O100" t="s">
        <v>16</v>
      </c>
      <c r="P100" t="s">
        <v>25</v>
      </c>
      <c r="Q100" t="s">
        <v>18</v>
      </c>
      <c r="R100">
        <v>25.86</v>
      </c>
      <c r="S100" t="s">
        <v>157</v>
      </c>
      <c r="T100" t="s">
        <v>153</v>
      </c>
    </row>
    <row r="101" spans="1:20" x14ac:dyDescent="0.25">
      <c r="A101" t="s">
        <v>83</v>
      </c>
      <c r="B101" t="s">
        <v>36</v>
      </c>
      <c r="C101">
        <v>170</v>
      </c>
      <c r="D101">
        <v>80</v>
      </c>
      <c r="E101" t="s">
        <v>5</v>
      </c>
      <c r="F101" t="s">
        <v>11</v>
      </c>
      <c r="G101" t="s">
        <v>19</v>
      </c>
      <c r="H101" t="s">
        <v>30</v>
      </c>
      <c r="I101" t="s">
        <v>22</v>
      </c>
      <c r="J101" t="s">
        <v>23</v>
      </c>
      <c r="K101" t="s">
        <v>52</v>
      </c>
      <c r="L101" t="s">
        <v>19</v>
      </c>
      <c r="M101" t="s">
        <v>14</v>
      </c>
      <c r="N101" t="s">
        <v>46</v>
      </c>
      <c r="O101" t="s">
        <v>16</v>
      </c>
      <c r="P101" t="s">
        <v>80</v>
      </c>
      <c r="Q101" t="s">
        <v>42</v>
      </c>
      <c r="R101">
        <v>27.68</v>
      </c>
      <c r="S101" t="s">
        <v>157</v>
      </c>
      <c r="T101" t="s">
        <v>153</v>
      </c>
    </row>
    <row r="102" spans="1:20" x14ac:dyDescent="0.25">
      <c r="A102" t="s">
        <v>83</v>
      </c>
      <c r="B102" t="s">
        <v>36</v>
      </c>
      <c r="C102">
        <v>165</v>
      </c>
      <c r="D102">
        <v>48</v>
      </c>
      <c r="E102" t="s">
        <v>54</v>
      </c>
      <c r="F102" t="s">
        <v>11</v>
      </c>
      <c r="G102" t="s">
        <v>20</v>
      </c>
      <c r="H102" t="s">
        <v>21</v>
      </c>
      <c r="I102" t="s">
        <v>139</v>
      </c>
      <c r="J102" t="s">
        <v>23</v>
      </c>
      <c r="K102" t="s">
        <v>52</v>
      </c>
      <c r="L102" t="s">
        <v>24</v>
      </c>
      <c r="M102" t="s">
        <v>53</v>
      </c>
      <c r="N102" t="s">
        <v>38</v>
      </c>
      <c r="O102" t="s">
        <v>34</v>
      </c>
      <c r="P102" t="s">
        <v>49</v>
      </c>
      <c r="Q102" t="s">
        <v>42</v>
      </c>
      <c r="R102">
        <v>17.63</v>
      </c>
      <c r="S102" t="s">
        <v>156</v>
      </c>
      <c r="T102" t="s">
        <v>153</v>
      </c>
    </row>
    <row r="103" spans="1:20" x14ac:dyDescent="0.25">
      <c r="A103" t="s">
        <v>83</v>
      </c>
      <c r="B103" t="s">
        <v>4</v>
      </c>
      <c r="C103">
        <v>156</v>
      </c>
      <c r="D103">
        <v>63</v>
      </c>
      <c r="E103" t="s">
        <v>54</v>
      </c>
      <c r="F103" t="s">
        <v>7</v>
      </c>
      <c r="G103" t="s">
        <v>20</v>
      </c>
      <c r="H103" t="s">
        <v>21</v>
      </c>
      <c r="I103" t="s">
        <v>22</v>
      </c>
      <c r="J103" t="s">
        <v>23</v>
      </c>
      <c r="K103" t="s">
        <v>12</v>
      </c>
      <c r="L103" t="s">
        <v>19</v>
      </c>
      <c r="M103" t="s">
        <v>37</v>
      </c>
      <c r="N103" t="s">
        <v>65</v>
      </c>
      <c r="O103" t="s">
        <v>55</v>
      </c>
      <c r="P103" t="s">
        <v>48</v>
      </c>
      <c r="Q103" t="s">
        <v>42</v>
      </c>
      <c r="R103">
        <v>25.89</v>
      </c>
      <c r="S103" t="s">
        <v>157</v>
      </c>
      <c r="T103" t="s">
        <v>153</v>
      </c>
    </row>
    <row r="104" spans="1:20" x14ac:dyDescent="0.25">
      <c r="A104" t="s">
        <v>83</v>
      </c>
      <c r="B104" t="s">
        <v>36</v>
      </c>
      <c r="C104">
        <v>162</v>
      </c>
      <c r="D104">
        <v>53</v>
      </c>
      <c r="E104" t="s">
        <v>66</v>
      </c>
      <c r="F104" t="s">
        <v>11</v>
      </c>
      <c r="G104" t="s">
        <v>19</v>
      </c>
      <c r="H104" t="s">
        <v>30</v>
      </c>
      <c r="I104" t="s">
        <v>129</v>
      </c>
      <c r="J104" t="s">
        <v>23</v>
      </c>
      <c r="K104" t="s">
        <v>84</v>
      </c>
      <c r="L104" t="s">
        <v>32</v>
      </c>
      <c r="M104" t="s">
        <v>45</v>
      </c>
      <c r="N104" t="s">
        <v>15</v>
      </c>
      <c r="O104" t="s">
        <v>55</v>
      </c>
      <c r="P104" t="s">
        <v>85</v>
      </c>
      <c r="Q104" t="s">
        <v>18</v>
      </c>
      <c r="R104">
        <v>19.38</v>
      </c>
      <c r="S104" t="s">
        <v>152</v>
      </c>
      <c r="T104" t="s">
        <v>153</v>
      </c>
    </row>
    <row r="105" spans="1:20" x14ac:dyDescent="0.25">
      <c r="A105" t="s">
        <v>83</v>
      </c>
      <c r="B105" t="s">
        <v>4</v>
      </c>
      <c r="C105">
        <v>172</v>
      </c>
      <c r="D105">
        <v>66</v>
      </c>
      <c r="E105" t="s">
        <v>54</v>
      </c>
      <c r="F105" t="s">
        <v>6</v>
      </c>
      <c r="G105" t="s">
        <v>20</v>
      </c>
      <c r="H105" t="s">
        <v>9</v>
      </c>
      <c r="I105" t="s">
        <v>155</v>
      </c>
      <c r="J105" t="s">
        <v>11</v>
      </c>
      <c r="K105" t="s">
        <v>86</v>
      </c>
      <c r="L105" t="s">
        <v>13</v>
      </c>
      <c r="M105" t="s">
        <v>87</v>
      </c>
      <c r="N105" t="s">
        <v>65</v>
      </c>
      <c r="O105" t="s">
        <v>58</v>
      </c>
      <c r="P105" t="s">
        <v>14</v>
      </c>
      <c r="Q105" t="s">
        <v>39</v>
      </c>
      <c r="R105">
        <v>21.99</v>
      </c>
      <c r="S105" t="s">
        <v>152</v>
      </c>
      <c r="T105" t="s">
        <v>154</v>
      </c>
    </row>
    <row r="106" spans="1:20" x14ac:dyDescent="0.25">
      <c r="A106" t="s">
        <v>83</v>
      </c>
      <c r="B106" t="s">
        <v>4</v>
      </c>
      <c r="C106">
        <v>175</v>
      </c>
      <c r="D106">
        <v>69</v>
      </c>
      <c r="E106" t="s">
        <v>54</v>
      </c>
      <c r="F106" t="s">
        <v>6</v>
      </c>
      <c r="G106" t="s">
        <v>20</v>
      </c>
      <c r="H106" t="s">
        <v>9</v>
      </c>
      <c r="I106" t="s">
        <v>155</v>
      </c>
      <c r="J106" t="s">
        <v>11</v>
      </c>
      <c r="K106" t="s">
        <v>86</v>
      </c>
      <c r="L106" t="s">
        <v>13</v>
      </c>
      <c r="M106" t="s">
        <v>87</v>
      </c>
      <c r="N106" t="s">
        <v>65</v>
      </c>
      <c r="O106" t="s">
        <v>58</v>
      </c>
      <c r="P106" t="s">
        <v>14</v>
      </c>
      <c r="Q106" t="s">
        <v>39</v>
      </c>
      <c r="R106">
        <v>21.77</v>
      </c>
      <c r="S106" t="s">
        <v>152</v>
      </c>
      <c r="T106" t="s">
        <v>154</v>
      </c>
    </row>
    <row r="107" spans="1:20" x14ac:dyDescent="0.25">
      <c r="A107" t="s">
        <v>83</v>
      </c>
      <c r="B107" t="s">
        <v>36</v>
      </c>
      <c r="C107">
        <v>171</v>
      </c>
      <c r="D107">
        <v>59</v>
      </c>
      <c r="E107" t="s">
        <v>5</v>
      </c>
      <c r="F107" t="s">
        <v>7</v>
      </c>
      <c r="G107" t="s">
        <v>8</v>
      </c>
      <c r="H107" t="s">
        <v>72</v>
      </c>
      <c r="I107" t="s">
        <v>10</v>
      </c>
      <c r="J107" t="s">
        <v>11</v>
      </c>
      <c r="K107" t="s">
        <v>12</v>
      </c>
      <c r="L107" t="s">
        <v>13</v>
      </c>
      <c r="M107" t="s">
        <v>45</v>
      </c>
      <c r="N107" t="s">
        <v>15</v>
      </c>
      <c r="O107" t="s">
        <v>34</v>
      </c>
      <c r="P107" t="s">
        <v>80</v>
      </c>
      <c r="Q107" t="s">
        <v>44</v>
      </c>
      <c r="R107">
        <v>34.25</v>
      </c>
      <c r="S107" t="s">
        <v>158</v>
      </c>
      <c r="T107" t="s">
        <v>154</v>
      </c>
    </row>
    <row r="108" spans="1:20" x14ac:dyDescent="0.25">
      <c r="A108" t="s">
        <v>83</v>
      </c>
      <c r="B108" t="s">
        <v>36</v>
      </c>
      <c r="C108">
        <v>167</v>
      </c>
      <c r="D108">
        <v>42</v>
      </c>
      <c r="E108" t="s">
        <v>5</v>
      </c>
      <c r="F108" t="s">
        <v>11</v>
      </c>
      <c r="G108" t="s">
        <v>44</v>
      </c>
      <c r="H108" t="s">
        <v>27</v>
      </c>
      <c r="I108" t="s">
        <v>14</v>
      </c>
      <c r="J108" t="s">
        <v>11</v>
      </c>
      <c r="K108" t="s">
        <v>12</v>
      </c>
      <c r="L108" t="s">
        <v>13</v>
      </c>
      <c r="M108" t="s">
        <v>14</v>
      </c>
      <c r="N108" t="s">
        <v>15</v>
      </c>
      <c r="O108" t="s">
        <v>16</v>
      </c>
      <c r="P108" t="s">
        <v>29</v>
      </c>
      <c r="Q108" t="s">
        <v>42</v>
      </c>
      <c r="R108">
        <v>21.67</v>
      </c>
      <c r="S108" t="s">
        <v>152</v>
      </c>
      <c r="T108" t="s">
        <v>154</v>
      </c>
    </row>
    <row r="109" spans="1:20" x14ac:dyDescent="0.25">
      <c r="A109" t="s">
        <v>83</v>
      </c>
      <c r="B109" t="s">
        <v>4</v>
      </c>
      <c r="C109">
        <v>181</v>
      </c>
      <c r="D109">
        <v>71</v>
      </c>
      <c r="E109" t="s">
        <v>5</v>
      </c>
      <c r="F109" t="s">
        <v>11</v>
      </c>
      <c r="G109" t="s">
        <v>8</v>
      </c>
      <c r="H109" t="s">
        <v>72</v>
      </c>
      <c r="I109" t="s">
        <v>90</v>
      </c>
      <c r="J109" t="s">
        <v>43</v>
      </c>
      <c r="K109" t="s">
        <v>14</v>
      </c>
      <c r="L109" t="s">
        <v>44</v>
      </c>
      <c r="M109" t="s">
        <v>91</v>
      </c>
      <c r="N109" t="s">
        <v>15</v>
      </c>
      <c r="O109" t="s">
        <v>55</v>
      </c>
      <c r="P109" t="s">
        <v>25</v>
      </c>
      <c r="Q109" t="s">
        <v>39</v>
      </c>
      <c r="R109">
        <v>25.46</v>
      </c>
      <c r="S109" t="s">
        <v>157</v>
      </c>
      <c r="T109" t="s">
        <v>154</v>
      </c>
    </row>
    <row r="110" spans="1:20" x14ac:dyDescent="0.25">
      <c r="A110" t="s">
        <v>94</v>
      </c>
      <c r="B110" t="s">
        <v>4</v>
      </c>
      <c r="C110">
        <v>170</v>
      </c>
      <c r="D110">
        <v>72</v>
      </c>
      <c r="E110" t="s">
        <v>5</v>
      </c>
      <c r="F110" t="s">
        <v>11</v>
      </c>
      <c r="G110" t="s">
        <v>20</v>
      </c>
      <c r="H110" t="s">
        <v>40</v>
      </c>
      <c r="I110" t="s">
        <v>14</v>
      </c>
      <c r="J110" t="s">
        <v>23</v>
      </c>
      <c r="K110" t="s">
        <v>28</v>
      </c>
      <c r="L110" t="s">
        <v>24</v>
      </c>
      <c r="M110" t="s">
        <v>14</v>
      </c>
      <c r="N110" t="s">
        <v>15</v>
      </c>
      <c r="O110" t="s">
        <v>16</v>
      </c>
      <c r="P110" t="s">
        <v>25</v>
      </c>
      <c r="Q110" t="s">
        <v>18</v>
      </c>
      <c r="R110">
        <v>24.91</v>
      </c>
      <c r="S110" t="s">
        <v>152</v>
      </c>
      <c r="T110" t="s">
        <v>153</v>
      </c>
    </row>
    <row r="111" spans="1:20" x14ac:dyDescent="0.25">
      <c r="A111" t="s">
        <v>94</v>
      </c>
      <c r="B111" t="s">
        <v>4</v>
      </c>
      <c r="C111">
        <v>173</v>
      </c>
      <c r="D111">
        <v>70</v>
      </c>
      <c r="E111" t="s">
        <v>5</v>
      </c>
      <c r="F111" t="s">
        <v>44</v>
      </c>
      <c r="G111" t="s">
        <v>20</v>
      </c>
      <c r="H111" t="s">
        <v>40</v>
      </c>
      <c r="I111" t="s">
        <v>22</v>
      </c>
      <c r="J111" t="s">
        <v>23</v>
      </c>
      <c r="K111" t="s">
        <v>12</v>
      </c>
      <c r="L111" t="s">
        <v>19</v>
      </c>
      <c r="M111" t="s">
        <v>37</v>
      </c>
      <c r="N111" t="s">
        <v>15</v>
      </c>
      <c r="O111" t="s">
        <v>16</v>
      </c>
      <c r="P111" t="s">
        <v>49</v>
      </c>
      <c r="Q111" t="s">
        <v>42</v>
      </c>
      <c r="R111">
        <v>23.39</v>
      </c>
      <c r="S111" t="s">
        <v>152</v>
      </c>
      <c r="T111" t="s">
        <v>153</v>
      </c>
    </row>
    <row r="112" spans="1:20" x14ac:dyDescent="0.25">
      <c r="A112" t="s">
        <v>94</v>
      </c>
      <c r="B112" t="s">
        <v>36</v>
      </c>
      <c r="C112">
        <v>165</v>
      </c>
      <c r="D112">
        <v>60</v>
      </c>
      <c r="E112" t="s">
        <v>54</v>
      </c>
      <c r="F112" t="s">
        <v>6</v>
      </c>
      <c r="G112" t="s">
        <v>20</v>
      </c>
      <c r="H112" t="s">
        <v>21</v>
      </c>
      <c r="I112" t="s">
        <v>139</v>
      </c>
      <c r="J112" t="s">
        <v>23</v>
      </c>
      <c r="K112" t="s">
        <v>12</v>
      </c>
      <c r="L112" t="s">
        <v>19</v>
      </c>
      <c r="M112" t="s">
        <v>45</v>
      </c>
      <c r="N112" t="s">
        <v>15</v>
      </c>
      <c r="O112" t="s">
        <v>16</v>
      </c>
      <c r="P112" t="s">
        <v>48</v>
      </c>
      <c r="Q112" t="s">
        <v>18</v>
      </c>
      <c r="R112">
        <v>24.97</v>
      </c>
      <c r="S112" t="s">
        <v>152</v>
      </c>
      <c r="T112" t="s">
        <v>153</v>
      </c>
    </row>
    <row r="113" spans="1:20" x14ac:dyDescent="0.25">
      <c r="A113" t="s">
        <v>94</v>
      </c>
      <c r="B113" t="s">
        <v>4</v>
      </c>
      <c r="C113">
        <v>166</v>
      </c>
      <c r="D113">
        <v>95</v>
      </c>
      <c r="E113" t="s">
        <v>54</v>
      </c>
      <c r="F113" t="s">
        <v>19</v>
      </c>
      <c r="G113" t="s">
        <v>8</v>
      </c>
      <c r="H113" t="s">
        <v>9</v>
      </c>
      <c r="I113" t="s">
        <v>123</v>
      </c>
      <c r="J113" t="s">
        <v>43</v>
      </c>
      <c r="K113" t="s">
        <v>14</v>
      </c>
      <c r="L113" t="s">
        <v>44</v>
      </c>
      <c r="M113" t="s">
        <v>79</v>
      </c>
      <c r="N113" t="s">
        <v>38</v>
      </c>
      <c r="O113" t="s">
        <v>55</v>
      </c>
      <c r="P113" t="s">
        <v>14</v>
      </c>
      <c r="Q113" t="s">
        <v>18</v>
      </c>
      <c r="R113">
        <v>40.89</v>
      </c>
      <c r="S113" t="s">
        <v>158</v>
      </c>
      <c r="T113" t="s">
        <v>154</v>
      </c>
    </row>
    <row r="114" spans="1:20" x14ac:dyDescent="0.25">
      <c r="A114" t="s">
        <v>94</v>
      </c>
      <c r="B114" t="s">
        <v>36</v>
      </c>
      <c r="C114">
        <v>176</v>
      </c>
      <c r="D114">
        <v>59</v>
      </c>
      <c r="E114" t="s">
        <v>5</v>
      </c>
      <c r="F114" t="s">
        <v>7</v>
      </c>
      <c r="G114" t="s">
        <v>8</v>
      </c>
      <c r="H114" t="s">
        <v>72</v>
      </c>
      <c r="I114" t="s">
        <v>10</v>
      </c>
      <c r="J114" t="s">
        <v>11</v>
      </c>
      <c r="K114" t="s">
        <v>12</v>
      </c>
      <c r="L114" t="s">
        <v>13</v>
      </c>
      <c r="M114" t="s">
        <v>45</v>
      </c>
      <c r="N114" t="s">
        <v>15</v>
      </c>
      <c r="O114" t="s">
        <v>34</v>
      </c>
      <c r="P114" t="s">
        <v>80</v>
      </c>
      <c r="Q114" t="s">
        <v>44</v>
      </c>
      <c r="R114">
        <v>35</v>
      </c>
      <c r="S114" t="s">
        <v>158</v>
      </c>
      <c r="T114" t="s">
        <v>154</v>
      </c>
    </row>
    <row r="115" spans="1:20" x14ac:dyDescent="0.25">
      <c r="A115" t="s">
        <v>94</v>
      </c>
      <c r="B115" t="s">
        <v>4</v>
      </c>
      <c r="C115">
        <v>153</v>
      </c>
      <c r="D115">
        <v>62</v>
      </c>
      <c r="E115" t="s">
        <v>5</v>
      </c>
      <c r="F115" t="s">
        <v>7</v>
      </c>
      <c r="G115" t="s">
        <v>20</v>
      </c>
      <c r="H115" t="s">
        <v>27</v>
      </c>
      <c r="I115" t="s">
        <v>10</v>
      </c>
      <c r="J115" t="s">
        <v>23</v>
      </c>
      <c r="K115" t="s">
        <v>73</v>
      </c>
      <c r="L115" t="s">
        <v>19</v>
      </c>
      <c r="M115" t="s">
        <v>14</v>
      </c>
      <c r="N115" t="s">
        <v>38</v>
      </c>
      <c r="O115" t="s">
        <v>16</v>
      </c>
      <c r="P115" t="s">
        <v>25</v>
      </c>
      <c r="Q115" t="s">
        <v>42</v>
      </c>
      <c r="R115">
        <v>19.96</v>
      </c>
      <c r="S115" t="s">
        <v>152</v>
      </c>
      <c r="T115" t="s">
        <v>153</v>
      </c>
    </row>
    <row r="116" spans="1:20" x14ac:dyDescent="0.25">
      <c r="A116" t="s">
        <v>94</v>
      </c>
      <c r="B116" t="s">
        <v>36</v>
      </c>
      <c r="C116">
        <v>168</v>
      </c>
      <c r="D116">
        <v>58</v>
      </c>
      <c r="E116" t="s">
        <v>5</v>
      </c>
      <c r="F116" t="s">
        <v>7</v>
      </c>
      <c r="G116" t="s">
        <v>8</v>
      </c>
      <c r="H116" t="s">
        <v>72</v>
      </c>
      <c r="I116" t="s">
        <v>10</v>
      </c>
      <c r="J116" t="s">
        <v>11</v>
      </c>
      <c r="K116" t="s">
        <v>12</v>
      </c>
      <c r="L116" t="s">
        <v>13</v>
      </c>
      <c r="M116" t="s">
        <v>45</v>
      </c>
      <c r="N116" t="s">
        <v>15</v>
      </c>
      <c r="O116" t="s">
        <v>34</v>
      </c>
      <c r="P116" t="s">
        <v>80</v>
      </c>
      <c r="Q116" t="s">
        <v>44</v>
      </c>
      <c r="R116">
        <v>32.49</v>
      </c>
      <c r="S116" t="s">
        <v>158</v>
      </c>
      <c r="T116" t="s">
        <v>154</v>
      </c>
    </row>
    <row r="117" spans="1:20" x14ac:dyDescent="0.25">
      <c r="A117" t="s">
        <v>94</v>
      </c>
      <c r="B117" t="s">
        <v>4</v>
      </c>
      <c r="C117">
        <v>156</v>
      </c>
      <c r="D117">
        <v>66</v>
      </c>
      <c r="E117" t="s">
        <v>5</v>
      </c>
      <c r="F117" t="s">
        <v>7</v>
      </c>
      <c r="G117" t="s">
        <v>20</v>
      </c>
      <c r="H117" t="s">
        <v>27</v>
      </c>
      <c r="I117" t="s">
        <v>10</v>
      </c>
      <c r="J117" t="s">
        <v>23</v>
      </c>
      <c r="K117" t="s">
        <v>73</v>
      </c>
      <c r="L117" t="s">
        <v>19</v>
      </c>
      <c r="M117" t="s">
        <v>14</v>
      </c>
      <c r="N117" t="s">
        <v>38</v>
      </c>
      <c r="O117" t="s">
        <v>16</v>
      </c>
      <c r="P117" t="s">
        <v>25</v>
      </c>
      <c r="Q117" t="s">
        <v>42</v>
      </c>
      <c r="R117">
        <v>20.440000000000001</v>
      </c>
      <c r="S117" t="s">
        <v>152</v>
      </c>
      <c r="T117" t="s">
        <v>153</v>
      </c>
    </row>
    <row r="118" spans="1:20" x14ac:dyDescent="0.25">
      <c r="A118" t="s">
        <v>94</v>
      </c>
      <c r="B118" t="s">
        <v>4</v>
      </c>
      <c r="C118">
        <v>166</v>
      </c>
      <c r="D118">
        <v>92</v>
      </c>
      <c r="E118" t="s">
        <v>54</v>
      </c>
      <c r="F118" t="s">
        <v>19</v>
      </c>
      <c r="G118" t="s">
        <v>8</v>
      </c>
      <c r="H118" t="s">
        <v>9</v>
      </c>
      <c r="I118" t="s">
        <v>123</v>
      </c>
      <c r="J118" t="s">
        <v>43</v>
      </c>
      <c r="K118" t="s">
        <v>14</v>
      </c>
      <c r="L118" t="s">
        <v>44</v>
      </c>
      <c r="M118" t="s">
        <v>79</v>
      </c>
      <c r="N118" t="s">
        <v>38</v>
      </c>
      <c r="O118" t="s">
        <v>55</v>
      </c>
      <c r="P118" t="s">
        <v>14</v>
      </c>
      <c r="Q118" t="s">
        <v>18</v>
      </c>
      <c r="R118">
        <v>37.799999999999997</v>
      </c>
      <c r="S118" t="s">
        <v>158</v>
      </c>
      <c r="T118" t="s">
        <v>154</v>
      </c>
    </row>
    <row r="119" spans="1:20" x14ac:dyDescent="0.25">
      <c r="A119" t="s">
        <v>97</v>
      </c>
      <c r="B119" t="s">
        <v>4</v>
      </c>
      <c r="C119">
        <v>173</v>
      </c>
      <c r="D119">
        <v>83</v>
      </c>
      <c r="E119" t="s">
        <v>5</v>
      </c>
      <c r="F119" t="s">
        <v>7</v>
      </c>
      <c r="G119" t="s">
        <v>20</v>
      </c>
      <c r="H119" t="s">
        <v>44</v>
      </c>
      <c r="I119" t="s">
        <v>22</v>
      </c>
      <c r="J119" t="s">
        <v>23</v>
      </c>
      <c r="K119" t="s">
        <v>12</v>
      </c>
      <c r="L119" t="s">
        <v>19</v>
      </c>
      <c r="M119" t="s">
        <v>53</v>
      </c>
      <c r="N119" t="s">
        <v>46</v>
      </c>
      <c r="O119" t="s">
        <v>16</v>
      </c>
      <c r="P119" t="s">
        <v>48</v>
      </c>
      <c r="Q119" t="s">
        <v>42</v>
      </c>
      <c r="R119">
        <v>27.73</v>
      </c>
      <c r="S119" t="s">
        <v>157</v>
      </c>
      <c r="T119" t="s">
        <v>153</v>
      </c>
    </row>
    <row r="120" spans="1:20" x14ac:dyDescent="0.25">
      <c r="A120" t="s">
        <v>97</v>
      </c>
      <c r="B120" t="s">
        <v>4</v>
      </c>
      <c r="C120">
        <v>178</v>
      </c>
      <c r="D120">
        <v>67</v>
      </c>
      <c r="E120" t="s">
        <v>5</v>
      </c>
      <c r="F120" t="s">
        <v>11</v>
      </c>
      <c r="G120" t="s">
        <v>8</v>
      </c>
      <c r="H120" t="s">
        <v>44</v>
      </c>
      <c r="I120" t="s">
        <v>14</v>
      </c>
      <c r="J120" t="s">
        <v>23</v>
      </c>
      <c r="K120" t="s">
        <v>98</v>
      </c>
      <c r="L120" t="s">
        <v>24</v>
      </c>
      <c r="M120" t="s">
        <v>14</v>
      </c>
      <c r="N120" t="s">
        <v>15</v>
      </c>
      <c r="O120" t="s">
        <v>16</v>
      </c>
      <c r="P120" t="s">
        <v>99</v>
      </c>
      <c r="Q120" t="s">
        <v>44</v>
      </c>
      <c r="R120">
        <v>26.49</v>
      </c>
      <c r="S120" t="s">
        <v>157</v>
      </c>
      <c r="T120" t="s">
        <v>153</v>
      </c>
    </row>
    <row r="121" spans="1:20" x14ac:dyDescent="0.25">
      <c r="A121" t="s">
        <v>97</v>
      </c>
      <c r="B121" t="s">
        <v>36</v>
      </c>
      <c r="C121">
        <v>171</v>
      </c>
      <c r="D121">
        <v>42</v>
      </c>
      <c r="E121" t="s">
        <v>5</v>
      </c>
      <c r="F121" t="s">
        <v>11</v>
      </c>
      <c r="G121" t="s">
        <v>44</v>
      </c>
      <c r="H121" t="s">
        <v>27</v>
      </c>
      <c r="I121" t="s">
        <v>14</v>
      </c>
      <c r="J121" t="s">
        <v>11</v>
      </c>
      <c r="K121" t="s">
        <v>12</v>
      </c>
      <c r="L121" t="s">
        <v>13</v>
      </c>
      <c r="M121" t="s">
        <v>14</v>
      </c>
      <c r="N121" t="s">
        <v>15</v>
      </c>
      <c r="O121" t="s">
        <v>16</v>
      </c>
      <c r="P121" t="s">
        <v>29</v>
      </c>
      <c r="Q121" t="s">
        <v>42</v>
      </c>
      <c r="R121">
        <v>20.75</v>
      </c>
      <c r="S121" t="s">
        <v>152</v>
      </c>
      <c r="T121" t="s">
        <v>154</v>
      </c>
    </row>
    <row r="122" spans="1:20" x14ac:dyDescent="0.25">
      <c r="A122" t="s">
        <v>97</v>
      </c>
      <c r="B122" t="s">
        <v>4</v>
      </c>
      <c r="C122">
        <v>185</v>
      </c>
      <c r="D122">
        <v>71</v>
      </c>
      <c r="E122" t="s">
        <v>5</v>
      </c>
      <c r="F122" t="s">
        <v>11</v>
      </c>
      <c r="G122" t="s">
        <v>8</v>
      </c>
      <c r="H122" t="s">
        <v>72</v>
      </c>
      <c r="I122" t="s">
        <v>90</v>
      </c>
      <c r="J122" t="s">
        <v>43</v>
      </c>
      <c r="K122" t="s">
        <v>14</v>
      </c>
      <c r="L122" t="s">
        <v>44</v>
      </c>
      <c r="M122" t="s">
        <v>91</v>
      </c>
      <c r="N122" t="s">
        <v>15</v>
      </c>
      <c r="O122" t="s">
        <v>55</v>
      </c>
      <c r="P122" t="s">
        <v>25</v>
      </c>
      <c r="Q122" t="s">
        <v>39</v>
      </c>
      <c r="R122">
        <v>26.45</v>
      </c>
      <c r="S122" t="s">
        <v>157</v>
      </c>
      <c r="T122" t="s">
        <v>154</v>
      </c>
    </row>
    <row r="123" spans="1:20" x14ac:dyDescent="0.25">
      <c r="A123" t="s">
        <v>97</v>
      </c>
      <c r="B123" t="s">
        <v>4</v>
      </c>
      <c r="C123">
        <v>176</v>
      </c>
      <c r="D123">
        <v>65</v>
      </c>
      <c r="E123" t="s">
        <v>5</v>
      </c>
      <c r="F123" t="s">
        <v>11</v>
      </c>
      <c r="G123" t="s">
        <v>8</v>
      </c>
      <c r="H123" t="s">
        <v>44</v>
      </c>
      <c r="I123" t="s">
        <v>14</v>
      </c>
      <c r="J123" t="s">
        <v>23</v>
      </c>
      <c r="K123" t="s">
        <v>98</v>
      </c>
      <c r="L123" t="s">
        <v>24</v>
      </c>
      <c r="M123" t="s">
        <v>14</v>
      </c>
      <c r="N123" t="s">
        <v>15</v>
      </c>
      <c r="O123" t="s">
        <v>16</v>
      </c>
      <c r="P123" t="s">
        <v>99</v>
      </c>
      <c r="Q123" t="s">
        <v>44</v>
      </c>
      <c r="R123">
        <v>27.12</v>
      </c>
      <c r="S123" t="s">
        <v>157</v>
      </c>
      <c r="T123" t="s">
        <v>153</v>
      </c>
    </row>
    <row r="124" spans="1:20" x14ac:dyDescent="0.25">
      <c r="A124" t="s">
        <v>97</v>
      </c>
      <c r="B124" t="s">
        <v>4</v>
      </c>
      <c r="C124">
        <v>176</v>
      </c>
      <c r="D124">
        <v>67</v>
      </c>
      <c r="E124" t="s">
        <v>5</v>
      </c>
      <c r="F124" t="s">
        <v>11</v>
      </c>
      <c r="G124" t="s">
        <v>8</v>
      </c>
      <c r="H124" t="s">
        <v>44</v>
      </c>
      <c r="I124" t="s">
        <v>14</v>
      </c>
      <c r="J124" t="s">
        <v>23</v>
      </c>
      <c r="K124" t="s">
        <v>98</v>
      </c>
      <c r="L124" t="s">
        <v>24</v>
      </c>
      <c r="M124" t="s">
        <v>14</v>
      </c>
      <c r="N124" t="s">
        <v>15</v>
      </c>
      <c r="O124" t="s">
        <v>16</v>
      </c>
      <c r="P124" t="s">
        <v>99</v>
      </c>
      <c r="Q124" t="s">
        <v>44</v>
      </c>
      <c r="R124">
        <v>26.3</v>
      </c>
      <c r="S124" t="s">
        <v>157</v>
      </c>
      <c r="T124" t="s">
        <v>153</v>
      </c>
    </row>
    <row r="125" spans="1:20" x14ac:dyDescent="0.25">
      <c r="A125" t="s">
        <v>101</v>
      </c>
      <c r="B125" t="s">
        <v>4</v>
      </c>
      <c r="C125">
        <v>176</v>
      </c>
      <c r="D125">
        <v>89</v>
      </c>
      <c r="E125" t="s">
        <v>5</v>
      </c>
      <c r="F125" t="s">
        <v>7</v>
      </c>
      <c r="G125" t="s">
        <v>8</v>
      </c>
      <c r="H125" t="s">
        <v>21</v>
      </c>
      <c r="I125" t="s">
        <v>14</v>
      </c>
      <c r="J125" t="s">
        <v>11</v>
      </c>
      <c r="K125" t="s">
        <v>12</v>
      </c>
      <c r="L125" t="s">
        <v>13</v>
      </c>
      <c r="M125" t="s">
        <v>102</v>
      </c>
      <c r="N125" t="s">
        <v>38</v>
      </c>
      <c r="O125" t="s">
        <v>55</v>
      </c>
      <c r="P125" t="s">
        <v>29</v>
      </c>
      <c r="Q125" t="s">
        <v>18</v>
      </c>
      <c r="R125">
        <v>22.31</v>
      </c>
      <c r="S125" t="s">
        <v>152</v>
      </c>
      <c r="T125" t="s">
        <v>154</v>
      </c>
    </row>
    <row r="126" spans="1:20" x14ac:dyDescent="0.25">
      <c r="A126" t="s">
        <v>101</v>
      </c>
      <c r="B126" t="s">
        <v>4</v>
      </c>
      <c r="C126">
        <v>166</v>
      </c>
      <c r="D126">
        <v>78</v>
      </c>
      <c r="E126" t="s">
        <v>5</v>
      </c>
      <c r="F126" t="s">
        <v>7</v>
      </c>
      <c r="G126" t="s">
        <v>8</v>
      </c>
      <c r="H126" t="s">
        <v>21</v>
      </c>
      <c r="I126" t="s">
        <v>14</v>
      </c>
      <c r="J126" t="s">
        <v>11</v>
      </c>
      <c r="K126" t="s">
        <v>12</v>
      </c>
      <c r="L126" t="s">
        <v>13</v>
      </c>
      <c r="M126" t="s">
        <v>102</v>
      </c>
      <c r="N126" t="s">
        <v>38</v>
      </c>
      <c r="O126" t="s">
        <v>55</v>
      </c>
      <c r="P126" t="s">
        <v>29</v>
      </c>
      <c r="Q126" t="s">
        <v>18</v>
      </c>
      <c r="R126">
        <v>22.53</v>
      </c>
      <c r="S126" t="s">
        <v>152</v>
      </c>
      <c r="T126" t="s">
        <v>154</v>
      </c>
    </row>
    <row r="127" spans="1:20" x14ac:dyDescent="0.25">
      <c r="A127" t="s">
        <v>104</v>
      </c>
      <c r="B127" t="s">
        <v>4</v>
      </c>
      <c r="C127">
        <v>174</v>
      </c>
      <c r="D127">
        <v>53</v>
      </c>
      <c r="E127" t="s">
        <v>66</v>
      </c>
      <c r="F127" t="s">
        <v>7</v>
      </c>
      <c r="G127" t="s">
        <v>20</v>
      </c>
      <c r="H127" t="s">
        <v>40</v>
      </c>
      <c r="I127" t="s">
        <v>127</v>
      </c>
      <c r="J127" t="s">
        <v>23</v>
      </c>
      <c r="K127" t="s">
        <v>12</v>
      </c>
      <c r="L127" t="s">
        <v>32</v>
      </c>
      <c r="M127" t="s">
        <v>64</v>
      </c>
      <c r="N127" t="s">
        <v>38</v>
      </c>
      <c r="O127" t="s">
        <v>34</v>
      </c>
      <c r="P127" t="s">
        <v>17</v>
      </c>
      <c r="Q127" t="s">
        <v>18</v>
      </c>
      <c r="R127">
        <v>20.2</v>
      </c>
      <c r="S127" t="s">
        <v>152</v>
      </c>
      <c r="T127" t="s">
        <v>153</v>
      </c>
    </row>
    <row r="128" spans="1:20" x14ac:dyDescent="0.25">
      <c r="A128" t="s">
        <v>104</v>
      </c>
      <c r="B128" t="s">
        <v>4</v>
      </c>
      <c r="C128">
        <v>150</v>
      </c>
      <c r="D128">
        <v>55</v>
      </c>
      <c r="E128" t="s">
        <v>54</v>
      </c>
      <c r="F128" t="s">
        <v>7</v>
      </c>
      <c r="G128" t="s">
        <v>8</v>
      </c>
      <c r="H128" t="s">
        <v>72</v>
      </c>
      <c r="I128" t="s">
        <v>69</v>
      </c>
      <c r="J128" t="s">
        <v>11</v>
      </c>
      <c r="K128" t="s">
        <v>62</v>
      </c>
      <c r="L128" t="s">
        <v>13</v>
      </c>
      <c r="M128" t="s">
        <v>14</v>
      </c>
      <c r="N128" t="s">
        <v>15</v>
      </c>
      <c r="O128" t="s">
        <v>34</v>
      </c>
      <c r="P128" t="s">
        <v>14</v>
      </c>
      <c r="Q128" t="s">
        <v>42</v>
      </c>
      <c r="R128">
        <v>19.05</v>
      </c>
      <c r="S128" t="s">
        <v>152</v>
      </c>
      <c r="T128" t="s">
        <v>154</v>
      </c>
    </row>
    <row r="129" spans="1:20" x14ac:dyDescent="0.25">
      <c r="A129" t="s">
        <v>104</v>
      </c>
      <c r="B129" t="s">
        <v>4</v>
      </c>
      <c r="C129">
        <v>154</v>
      </c>
      <c r="D129">
        <v>52</v>
      </c>
      <c r="E129" t="s">
        <v>54</v>
      </c>
      <c r="F129" t="s">
        <v>7</v>
      </c>
      <c r="G129" t="s">
        <v>8</v>
      </c>
      <c r="H129" t="s">
        <v>72</v>
      </c>
      <c r="I129" t="s">
        <v>69</v>
      </c>
      <c r="J129" t="s">
        <v>11</v>
      </c>
      <c r="K129" t="s">
        <v>62</v>
      </c>
      <c r="L129" t="s">
        <v>13</v>
      </c>
      <c r="M129" t="s">
        <v>14</v>
      </c>
      <c r="N129" t="s">
        <v>15</v>
      </c>
      <c r="O129" t="s">
        <v>34</v>
      </c>
      <c r="P129" t="s">
        <v>14</v>
      </c>
      <c r="Q129" t="s">
        <v>42</v>
      </c>
      <c r="R129">
        <v>20.55</v>
      </c>
      <c r="S129" t="s">
        <v>152</v>
      </c>
      <c r="T129" t="s">
        <v>154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efresh_Data">
                <anchor moveWithCells="1" sizeWithCells="1">
                  <from>
                    <xdr:col>22</xdr:col>
                    <xdr:colOff>552450</xdr:colOff>
                    <xdr:row>3</xdr:row>
                    <xdr:rowOff>123825</xdr:rowOff>
                  </from>
                  <to>
                    <xdr:col>24</xdr:col>
                    <xdr:colOff>419100</xdr:colOff>
                    <xdr:row>6</xdr:row>
                    <xdr:rowOff>57150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F1C61-DF69-4917-99FF-26A2816BE731}">
  <dimension ref="A3:S89"/>
  <sheetViews>
    <sheetView tabSelected="1" workbookViewId="0">
      <selection activeCell="D48" sqref="D48"/>
    </sheetView>
  </sheetViews>
  <sheetFormatPr defaultRowHeight="15" x14ac:dyDescent="0.25"/>
  <cols>
    <col min="1" max="1" width="21" bestFit="1" customWidth="1"/>
    <col min="2" max="2" width="27.28515625" bestFit="1" customWidth="1"/>
    <col min="3" max="3" width="35.28515625" bestFit="1" customWidth="1"/>
    <col min="4" max="4" width="38.7109375" customWidth="1"/>
    <col min="5" max="5" width="26.140625" customWidth="1"/>
    <col min="6" max="6" width="26.85546875" bestFit="1" customWidth="1"/>
    <col min="7" max="7" width="55.140625" bestFit="1" customWidth="1"/>
    <col min="8" max="8" width="43.28515625" bestFit="1" customWidth="1"/>
    <col min="9" max="9" width="20.7109375" bestFit="1" customWidth="1"/>
    <col min="10" max="10" width="72.42578125" bestFit="1" customWidth="1"/>
    <col min="11" max="11" width="88.85546875" bestFit="1" customWidth="1"/>
    <col min="12" max="12" width="48.5703125" bestFit="1" customWidth="1"/>
    <col min="13" max="13" width="27.85546875" bestFit="1" customWidth="1"/>
    <col min="14" max="14" width="34.28515625" bestFit="1" customWidth="1"/>
    <col min="15" max="15" width="5.85546875" bestFit="1" customWidth="1"/>
    <col min="16" max="16" width="57.5703125" bestFit="1" customWidth="1"/>
    <col min="17" max="17" width="26.7109375" bestFit="1" customWidth="1"/>
    <col min="18" max="18" width="16" bestFit="1" customWidth="1"/>
    <col min="19" max="19" width="67.7109375" bestFit="1" customWidth="1"/>
    <col min="20" max="20" width="11.28515625" bestFit="1" customWidth="1"/>
  </cols>
  <sheetData>
    <row r="3" spans="1:18" x14ac:dyDescent="0.25">
      <c r="A3" s="4" t="s">
        <v>167</v>
      </c>
      <c r="B3" s="4" t="s">
        <v>166</v>
      </c>
      <c r="F3" s="4" t="s">
        <v>142</v>
      </c>
      <c r="G3" t="s">
        <v>168</v>
      </c>
    </row>
    <row r="4" spans="1:18" x14ac:dyDescent="0.25">
      <c r="A4" s="4" t="s">
        <v>165</v>
      </c>
      <c r="B4" t="s">
        <v>36</v>
      </c>
      <c r="C4" t="s">
        <v>4</v>
      </c>
      <c r="F4" s="5" t="s">
        <v>3</v>
      </c>
      <c r="G4">
        <v>22.743909678571431</v>
      </c>
    </row>
    <row r="5" spans="1:18" x14ac:dyDescent="0.25">
      <c r="A5" s="5" t="s">
        <v>152</v>
      </c>
      <c r="B5">
        <v>19</v>
      </c>
      <c r="C5">
        <v>47</v>
      </c>
      <c r="F5" s="5" t="s">
        <v>83</v>
      </c>
      <c r="G5">
        <v>23.705522487999996</v>
      </c>
    </row>
    <row r="6" spans="1:18" x14ac:dyDescent="0.25">
      <c r="A6" s="5" t="s">
        <v>158</v>
      </c>
      <c r="B6">
        <v>4</v>
      </c>
      <c r="C6">
        <v>8</v>
      </c>
      <c r="F6" s="5" t="s">
        <v>94</v>
      </c>
      <c r="G6">
        <v>25.598163606666663</v>
      </c>
    </row>
    <row r="7" spans="1:18" x14ac:dyDescent="0.25">
      <c r="A7" s="5" t="s">
        <v>157</v>
      </c>
      <c r="B7">
        <v>11</v>
      </c>
      <c r="C7">
        <v>25</v>
      </c>
      <c r="F7" s="5" t="s">
        <v>97</v>
      </c>
      <c r="G7">
        <v>26.303870280000005</v>
      </c>
    </row>
    <row r="8" spans="1:18" x14ac:dyDescent="0.25">
      <c r="A8" s="5" t="s">
        <v>156</v>
      </c>
      <c r="B8">
        <v>10</v>
      </c>
      <c r="C8">
        <v>4</v>
      </c>
      <c r="F8" s="5" t="s">
        <v>101</v>
      </c>
      <c r="G8">
        <v>22.414316394</v>
      </c>
    </row>
    <row r="9" spans="1:18" x14ac:dyDescent="0.25">
      <c r="F9" s="5" t="s">
        <v>104</v>
      </c>
      <c r="G9">
        <v>22.216192605833331</v>
      </c>
    </row>
    <row r="11" spans="1:18" x14ac:dyDescent="0.25">
      <c r="A11" s="4" t="s">
        <v>169</v>
      </c>
      <c r="B11" s="4" t="s">
        <v>166</v>
      </c>
    </row>
    <row r="12" spans="1:18" x14ac:dyDescent="0.25">
      <c r="A12" s="4" t="s">
        <v>165</v>
      </c>
      <c r="B12" t="s">
        <v>89</v>
      </c>
      <c r="C12" t="s">
        <v>47</v>
      </c>
      <c r="D12" t="s">
        <v>79</v>
      </c>
      <c r="E12" t="s">
        <v>51</v>
      </c>
      <c r="F12" t="s">
        <v>102</v>
      </c>
      <c r="G12" t="s">
        <v>33</v>
      </c>
      <c r="H12" t="s">
        <v>37</v>
      </c>
      <c r="I12" t="s">
        <v>63</v>
      </c>
      <c r="J12" t="s">
        <v>60</v>
      </c>
      <c r="K12" t="s">
        <v>95</v>
      </c>
      <c r="L12" t="s">
        <v>45</v>
      </c>
      <c r="M12" t="s">
        <v>91</v>
      </c>
      <c r="N12" t="s">
        <v>14</v>
      </c>
      <c r="O12" t="s">
        <v>88</v>
      </c>
      <c r="P12" t="s">
        <v>87</v>
      </c>
      <c r="Q12" t="s">
        <v>53</v>
      </c>
      <c r="R12" t="s">
        <v>64</v>
      </c>
    </row>
    <row r="13" spans="1:18" x14ac:dyDescent="0.25">
      <c r="A13" s="5" t="s">
        <v>13</v>
      </c>
      <c r="F13">
        <v>2</v>
      </c>
      <c r="H13">
        <v>2</v>
      </c>
      <c r="I13">
        <v>1</v>
      </c>
      <c r="J13">
        <v>1</v>
      </c>
      <c r="K13">
        <v>2</v>
      </c>
      <c r="L13">
        <v>8</v>
      </c>
      <c r="N13">
        <v>9</v>
      </c>
      <c r="P13">
        <v>2</v>
      </c>
    </row>
    <row r="14" spans="1:18" x14ac:dyDescent="0.25">
      <c r="A14" s="5" t="s">
        <v>32</v>
      </c>
      <c r="C14">
        <v>1</v>
      </c>
      <c r="E14">
        <v>2</v>
      </c>
      <c r="G14">
        <v>1</v>
      </c>
      <c r="H14">
        <v>2</v>
      </c>
      <c r="L14">
        <v>3</v>
      </c>
      <c r="N14">
        <v>1</v>
      </c>
      <c r="Q14">
        <v>2</v>
      </c>
      <c r="R14">
        <v>3</v>
      </c>
    </row>
    <row r="15" spans="1:18" x14ac:dyDescent="0.25">
      <c r="A15" s="5" t="s">
        <v>24</v>
      </c>
      <c r="H15">
        <v>1</v>
      </c>
      <c r="L15">
        <v>1</v>
      </c>
      <c r="N15">
        <v>12</v>
      </c>
      <c r="Q15">
        <v>3</v>
      </c>
    </row>
    <row r="16" spans="1:18" x14ac:dyDescent="0.25">
      <c r="A16" s="5" t="s">
        <v>19</v>
      </c>
      <c r="C16">
        <v>9</v>
      </c>
      <c r="E16">
        <v>1</v>
      </c>
      <c r="G16">
        <v>1</v>
      </c>
      <c r="H16">
        <v>7</v>
      </c>
      <c r="L16">
        <v>5</v>
      </c>
      <c r="N16">
        <v>18</v>
      </c>
      <c r="Q16">
        <v>5</v>
      </c>
    </row>
    <row r="17" spans="1:19" x14ac:dyDescent="0.25">
      <c r="A17" s="5" t="s">
        <v>44</v>
      </c>
      <c r="B17">
        <v>2</v>
      </c>
      <c r="C17">
        <v>4</v>
      </c>
      <c r="D17">
        <v>2</v>
      </c>
      <c r="H17">
        <v>3</v>
      </c>
      <c r="J17">
        <v>1</v>
      </c>
      <c r="L17">
        <v>2</v>
      </c>
      <c r="M17">
        <v>2</v>
      </c>
      <c r="N17">
        <v>1</v>
      </c>
      <c r="O17">
        <v>3</v>
      </c>
      <c r="Q17">
        <v>1</v>
      </c>
    </row>
    <row r="23" spans="1:19" x14ac:dyDescent="0.25">
      <c r="A23" s="4" t="s">
        <v>169</v>
      </c>
      <c r="B23" s="4" t="s">
        <v>166</v>
      </c>
    </row>
    <row r="24" spans="1:19" x14ac:dyDescent="0.25">
      <c r="A24" s="4" t="s">
        <v>165</v>
      </c>
      <c r="B24" t="s">
        <v>77</v>
      </c>
      <c r="C24" t="s">
        <v>89</v>
      </c>
      <c r="D24" t="s">
        <v>47</v>
      </c>
      <c r="E24" t="s">
        <v>79</v>
      </c>
      <c r="F24" t="s">
        <v>51</v>
      </c>
      <c r="G24" t="s">
        <v>102</v>
      </c>
      <c r="H24" t="s">
        <v>33</v>
      </c>
      <c r="I24" t="s">
        <v>37</v>
      </c>
      <c r="J24" t="s">
        <v>63</v>
      </c>
      <c r="K24" t="s">
        <v>60</v>
      </c>
      <c r="L24" t="s">
        <v>95</v>
      </c>
      <c r="M24" t="s">
        <v>45</v>
      </c>
      <c r="N24" t="s">
        <v>91</v>
      </c>
      <c r="O24" t="s">
        <v>14</v>
      </c>
      <c r="P24" t="s">
        <v>88</v>
      </c>
      <c r="Q24" t="s">
        <v>87</v>
      </c>
      <c r="R24" t="s">
        <v>53</v>
      </c>
      <c r="S24" t="s">
        <v>64</v>
      </c>
    </row>
    <row r="25" spans="1:19" x14ac:dyDescent="0.25">
      <c r="A25" s="5" t="s">
        <v>38</v>
      </c>
      <c r="B25">
        <v>2</v>
      </c>
      <c r="C25">
        <v>2</v>
      </c>
      <c r="D25">
        <v>2</v>
      </c>
      <c r="E25">
        <v>2</v>
      </c>
      <c r="F25">
        <v>1</v>
      </c>
      <c r="G25">
        <v>2</v>
      </c>
      <c r="H25">
        <v>1</v>
      </c>
      <c r="I25">
        <v>7</v>
      </c>
      <c r="J25">
        <v>1</v>
      </c>
      <c r="K25">
        <v>1</v>
      </c>
      <c r="O25">
        <v>5</v>
      </c>
      <c r="P25">
        <v>3</v>
      </c>
      <c r="R25">
        <v>4</v>
      </c>
      <c r="S25">
        <v>3</v>
      </c>
    </row>
    <row r="26" spans="1:19" x14ac:dyDescent="0.25">
      <c r="A26" s="5" t="s">
        <v>15</v>
      </c>
      <c r="D26">
        <v>9</v>
      </c>
      <c r="F26">
        <v>1</v>
      </c>
      <c r="H26">
        <v>1</v>
      </c>
      <c r="I26">
        <v>3</v>
      </c>
      <c r="M26">
        <v>15</v>
      </c>
      <c r="N26">
        <v>2</v>
      </c>
      <c r="O26">
        <v>24</v>
      </c>
      <c r="R26">
        <v>4</v>
      </c>
    </row>
    <row r="27" spans="1:19" x14ac:dyDescent="0.25">
      <c r="A27" s="5" t="s">
        <v>65</v>
      </c>
      <c r="F27">
        <v>1</v>
      </c>
      <c r="I27">
        <v>4</v>
      </c>
      <c r="K27">
        <v>1</v>
      </c>
      <c r="L27">
        <v>2</v>
      </c>
      <c r="Q27">
        <v>2</v>
      </c>
    </row>
    <row r="28" spans="1:19" x14ac:dyDescent="0.25">
      <c r="A28" s="5" t="s">
        <v>46</v>
      </c>
      <c r="D28">
        <v>3</v>
      </c>
      <c r="I28">
        <v>1</v>
      </c>
      <c r="M28">
        <v>4</v>
      </c>
      <c r="O28">
        <v>12</v>
      </c>
      <c r="R28">
        <v>3</v>
      </c>
    </row>
    <row r="31" spans="1:19" x14ac:dyDescent="0.25">
      <c r="A31" s="4" t="s">
        <v>167</v>
      </c>
      <c r="B31" s="4" t="s">
        <v>166</v>
      </c>
    </row>
    <row r="32" spans="1:19" x14ac:dyDescent="0.25">
      <c r="A32" s="4" t="s">
        <v>165</v>
      </c>
      <c r="B32" t="s">
        <v>152</v>
      </c>
      <c r="C32" t="s">
        <v>158</v>
      </c>
      <c r="D32" t="s">
        <v>157</v>
      </c>
      <c r="E32" t="s">
        <v>156</v>
      </c>
    </row>
    <row r="33" spans="1:5" x14ac:dyDescent="0.25">
      <c r="A33" s="5" t="s">
        <v>27</v>
      </c>
      <c r="B33">
        <v>5</v>
      </c>
    </row>
    <row r="34" spans="1:5" x14ac:dyDescent="0.25">
      <c r="A34" s="5" t="s">
        <v>72</v>
      </c>
      <c r="B34">
        <v>7</v>
      </c>
      <c r="C34">
        <v>5</v>
      </c>
      <c r="D34">
        <v>4</v>
      </c>
      <c r="E34">
        <v>2</v>
      </c>
    </row>
    <row r="35" spans="1:5" x14ac:dyDescent="0.25">
      <c r="A35" s="5" t="s">
        <v>40</v>
      </c>
      <c r="B35">
        <v>10</v>
      </c>
      <c r="D35">
        <v>3</v>
      </c>
      <c r="E35">
        <v>1</v>
      </c>
    </row>
    <row r="36" spans="1:5" x14ac:dyDescent="0.25">
      <c r="A36" s="5" t="s">
        <v>30</v>
      </c>
      <c r="B36">
        <v>9</v>
      </c>
      <c r="D36">
        <v>7</v>
      </c>
      <c r="E36">
        <v>1</v>
      </c>
    </row>
    <row r="37" spans="1:5" x14ac:dyDescent="0.25">
      <c r="A37" s="5" t="s">
        <v>21</v>
      </c>
      <c r="B37">
        <v>13</v>
      </c>
      <c r="C37">
        <v>1</v>
      </c>
      <c r="D37">
        <v>2</v>
      </c>
      <c r="E37">
        <v>6</v>
      </c>
    </row>
    <row r="38" spans="1:5" x14ac:dyDescent="0.25">
      <c r="A38" s="5" t="s">
        <v>9</v>
      </c>
      <c r="B38">
        <v>13</v>
      </c>
      <c r="C38">
        <v>5</v>
      </c>
      <c r="D38">
        <v>7</v>
      </c>
      <c r="E38">
        <v>3</v>
      </c>
    </row>
    <row r="39" spans="1:5" x14ac:dyDescent="0.25">
      <c r="A39" s="5" t="s">
        <v>44</v>
      </c>
      <c r="B39">
        <v>9</v>
      </c>
      <c r="C39">
        <v>1</v>
      </c>
      <c r="D39">
        <v>13</v>
      </c>
      <c r="E39">
        <v>1</v>
      </c>
    </row>
    <row r="42" spans="1:5" x14ac:dyDescent="0.25">
      <c r="A42" s="4" t="s">
        <v>167</v>
      </c>
      <c r="B42" s="4" t="s">
        <v>166</v>
      </c>
    </row>
    <row r="43" spans="1:5" x14ac:dyDescent="0.25">
      <c r="A43" s="4" t="s">
        <v>165</v>
      </c>
      <c r="B43" t="s">
        <v>152</v>
      </c>
      <c r="C43" t="s">
        <v>158</v>
      </c>
      <c r="D43" t="s">
        <v>157</v>
      </c>
      <c r="E43" t="s">
        <v>156</v>
      </c>
    </row>
    <row r="44" spans="1:5" x14ac:dyDescent="0.25">
      <c r="A44" s="5" t="s">
        <v>19</v>
      </c>
      <c r="B44">
        <v>3</v>
      </c>
      <c r="C44">
        <v>3</v>
      </c>
      <c r="D44">
        <v>5</v>
      </c>
      <c r="E44">
        <v>1</v>
      </c>
    </row>
    <row r="45" spans="1:5" x14ac:dyDescent="0.25">
      <c r="A45" s="5" t="s">
        <v>44</v>
      </c>
      <c r="B45">
        <v>5</v>
      </c>
      <c r="C45">
        <v>1</v>
      </c>
      <c r="D45">
        <v>2</v>
      </c>
      <c r="E45">
        <v>1</v>
      </c>
    </row>
    <row r="46" spans="1:5" x14ac:dyDescent="0.25">
      <c r="A46" s="5" t="s">
        <v>6</v>
      </c>
      <c r="B46">
        <v>14</v>
      </c>
      <c r="C46">
        <v>2</v>
      </c>
      <c r="D46">
        <v>2</v>
      </c>
      <c r="E46">
        <v>1</v>
      </c>
    </row>
    <row r="47" spans="1:5" x14ac:dyDescent="0.25">
      <c r="A47" s="5" t="s">
        <v>11</v>
      </c>
      <c r="B47">
        <v>19</v>
      </c>
      <c r="C47">
        <v>2</v>
      </c>
      <c r="D47">
        <v>18</v>
      </c>
      <c r="E47">
        <v>5</v>
      </c>
    </row>
    <row r="48" spans="1:5" x14ac:dyDescent="0.25">
      <c r="A48" s="5" t="s">
        <v>7</v>
      </c>
      <c r="B48">
        <v>25</v>
      </c>
      <c r="C48">
        <v>4</v>
      </c>
      <c r="D48">
        <v>9</v>
      </c>
      <c r="E48">
        <v>6</v>
      </c>
    </row>
    <row r="53" spans="1:19" x14ac:dyDescent="0.25">
      <c r="A53" s="4" t="s">
        <v>169</v>
      </c>
      <c r="B53" s="4" t="s">
        <v>166</v>
      </c>
    </row>
    <row r="54" spans="1:19" x14ac:dyDescent="0.25">
      <c r="A54" s="4" t="s">
        <v>165</v>
      </c>
      <c r="B54" t="s">
        <v>77</v>
      </c>
      <c r="C54" t="s">
        <v>89</v>
      </c>
      <c r="D54" t="s">
        <v>47</v>
      </c>
      <c r="E54" t="s">
        <v>79</v>
      </c>
      <c r="F54" t="s">
        <v>51</v>
      </c>
      <c r="G54" t="s">
        <v>102</v>
      </c>
      <c r="H54" t="s">
        <v>33</v>
      </c>
      <c r="I54" t="s">
        <v>37</v>
      </c>
      <c r="J54" t="s">
        <v>63</v>
      </c>
      <c r="K54" t="s">
        <v>60</v>
      </c>
      <c r="L54" t="s">
        <v>95</v>
      </c>
      <c r="M54" t="s">
        <v>45</v>
      </c>
      <c r="N54" t="s">
        <v>91</v>
      </c>
      <c r="O54" t="s">
        <v>14</v>
      </c>
      <c r="P54" t="s">
        <v>88</v>
      </c>
      <c r="Q54" t="s">
        <v>87</v>
      </c>
      <c r="R54" t="s">
        <v>53</v>
      </c>
      <c r="S54" t="s">
        <v>64</v>
      </c>
    </row>
    <row r="55" spans="1:19" x14ac:dyDescent="0.25">
      <c r="A55" s="5" t="s">
        <v>39</v>
      </c>
      <c r="I55">
        <v>1</v>
      </c>
      <c r="M55">
        <v>3</v>
      </c>
      <c r="N55">
        <v>2</v>
      </c>
      <c r="O55">
        <v>1</v>
      </c>
      <c r="Q55">
        <v>2</v>
      </c>
      <c r="R55">
        <v>1</v>
      </c>
    </row>
    <row r="56" spans="1:19" x14ac:dyDescent="0.25">
      <c r="A56" s="5" t="s">
        <v>18</v>
      </c>
      <c r="E56">
        <v>2</v>
      </c>
      <c r="G56">
        <v>2</v>
      </c>
      <c r="H56">
        <v>1</v>
      </c>
      <c r="M56">
        <v>2</v>
      </c>
      <c r="O56">
        <v>2</v>
      </c>
      <c r="R56">
        <v>3</v>
      </c>
      <c r="S56">
        <v>2</v>
      </c>
    </row>
    <row r="57" spans="1:19" x14ac:dyDescent="0.25">
      <c r="A57" s="5" t="s">
        <v>44</v>
      </c>
      <c r="K57">
        <v>1</v>
      </c>
      <c r="M57">
        <v>3</v>
      </c>
      <c r="O57">
        <v>7</v>
      </c>
      <c r="R57">
        <v>1</v>
      </c>
    </row>
    <row r="58" spans="1:19" x14ac:dyDescent="0.25">
      <c r="A58" s="5" t="s">
        <v>42</v>
      </c>
      <c r="D58">
        <v>1</v>
      </c>
      <c r="F58">
        <v>1</v>
      </c>
      <c r="I58">
        <v>2</v>
      </c>
      <c r="O58">
        <v>11</v>
      </c>
      <c r="R58">
        <v>2</v>
      </c>
      <c r="S58">
        <v>1</v>
      </c>
    </row>
    <row r="59" spans="1:19" x14ac:dyDescent="0.25">
      <c r="A59" s="5" t="s">
        <v>26</v>
      </c>
      <c r="B59">
        <v>2</v>
      </c>
      <c r="C59">
        <v>2</v>
      </c>
      <c r="D59">
        <v>13</v>
      </c>
      <c r="F59">
        <v>2</v>
      </c>
      <c r="H59">
        <v>1</v>
      </c>
      <c r="I59">
        <v>12</v>
      </c>
      <c r="J59">
        <v>1</v>
      </c>
      <c r="K59">
        <v>1</v>
      </c>
      <c r="L59">
        <v>2</v>
      </c>
      <c r="M59">
        <v>11</v>
      </c>
      <c r="O59">
        <v>20</v>
      </c>
      <c r="P59">
        <v>3</v>
      </c>
      <c r="R59">
        <v>4</v>
      </c>
    </row>
    <row r="63" spans="1:19" x14ac:dyDescent="0.25">
      <c r="A63" s="4" t="s">
        <v>169</v>
      </c>
      <c r="B63" s="4" t="s">
        <v>166</v>
      </c>
    </row>
    <row r="64" spans="1:19" x14ac:dyDescent="0.25">
      <c r="A64" s="4" t="s">
        <v>165</v>
      </c>
      <c r="B64" t="s">
        <v>77</v>
      </c>
      <c r="C64" t="s">
        <v>89</v>
      </c>
      <c r="D64" t="s">
        <v>47</v>
      </c>
      <c r="E64" t="s">
        <v>79</v>
      </c>
      <c r="F64" t="s">
        <v>51</v>
      </c>
      <c r="G64" t="s">
        <v>102</v>
      </c>
      <c r="H64" t="s">
        <v>33</v>
      </c>
      <c r="I64" t="s">
        <v>37</v>
      </c>
      <c r="J64" t="s">
        <v>63</v>
      </c>
      <c r="K64" t="s">
        <v>60</v>
      </c>
      <c r="L64" t="s">
        <v>95</v>
      </c>
      <c r="M64" t="s">
        <v>45</v>
      </c>
      <c r="N64" t="s">
        <v>91</v>
      </c>
      <c r="O64" t="s">
        <v>14</v>
      </c>
      <c r="P64" t="s">
        <v>88</v>
      </c>
      <c r="Q64" t="s">
        <v>87</v>
      </c>
      <c r="R64" t="s">
        <v>53</v>
      </c>
      <c r="S64" t="s">
        <v>64</v>
      </c>
    </row>
    <row r="65" spans="1:19" x14ac:dyDescent="0.25">
      <c r="A65" s="5" t="s">
        <v>75</v>
      </c>
      <c r="B65">
        <v>2</v>
      </c>
    </row>
    <row r="66" spans="1:19" x14ac:dyDescent="0.25">
      <c r="A66" s="5" t="s">
        <v>90</v>
      </c>
      <c r="N66">
        <v>2</v>
      </c>
    </row>
    <row r="67" spans="1:19" x14ac:dyDescent="0.25">
      <c r="A67" s="5" t="s">
        <v>139</v>
      </c>
      <c r="M67">
        <v>3</v>
      </c>
      <c r="R67">
        <v>2</v>
      </c>
    </row>
    <row r="68" spans="1:19" x14ac:dyDescent="0.25">
      <c r="A68" s="5" t="s">
        <v>133</v>
      </c>
      <c r="R68">
        <v>1</v>
      </c>
    </row>
    <row r="69" spans="1:19" x14ac:dyDescent="0.25">
      <c r="A69" s="5" t="s">
        <v>132</v>
      </c>
      <c r="O69">
        <v>1</v>
      </c>
    </row>
    <row r="70" spans="1:19" x14ac:dyDescent="0.25">
      <c r="A70" s="5" t="s">
        <v>155</v>
      </c>
      <c r="D70">
        <v>1</v>
      </c>
      <c r="F70">
        <v>1</v>
      </c>
      <c r="M70">
        <v>3</v>
      </c>
      <c r="P70">
        <v>3</v>
      </c>
      <c r="Q70">
        <v>2</v>
      </c>
      <c r="R70">
        <v>1</v>
      </c>
    </row>
    <row r="71" spans="1:19" x14ac:dyDescent="0.25">
      <c r="A71" s="5" t="s">
        <v>129</v>
      </c>
      <c r="M71">
        <v>1</v>
      </c>
    </row>
    <row r="72" spans="1:19" x14ac:dyDescent="0.25">
      <c r="A72" s="5" t="s">
        <v>22</v>
      </c>
      <c r="D72">
        <v>10</v>
      </c>
      <c r="I72">
        <v>7</v>
      </c>
      <c r="M72">
        <v>9</v>
      </c>
      <c r="O72">
        <v>12</v>
      </c>
      <c r="R72">
        <v>5</v>
      </c>
      <c r="S72">
        <v>1</v>
      </c>
    </row>
    <row r="73" spans="1:19" x14ac:dyDescent="0.25">
      <c r="A73" s="5" t="s">
        <v>56</v>
      </c>
      <c r="O73">
        <v>1</v>
      </c>
    </row>
    <row r="74" spans="1:19" x14ac:dyDescent="0.25">
      <c r="A74" s="5" t="s">
        <v>105</v>
      </c>
      <c r="D74">
        <v>2</v>
      </c>
    </row>
    <row r="75" spans="1:19" x14ac:dyDescent="0.25">
      <c r="A75" s="5" t="s">
        <v>14</v>
      </c>
      <c r="C75">
        <v>2</v>
      </c>
      <c r="G75">
        <v>2</v>
      </c>
      <c r="I75">
        <v>2</v>
      </c>
      <c r="O75">
        <v>14</v>
      </c>
    </row>
    <row r="76" spans="1:19" x14ac:dyDescent="0.25">
      <c r="A76" s="5" t="s">
        <v>140</v>
      </c>
      <c r="I76">
        <v>2</v>
      </c>
    </row>
    <row r="77" spans="1:19" x14ac:dyDescent="0.25">
      <c r="A77" s="5" t="s">
        <v>134</v>
      </c>
      <c r="O77">
        <v>1</v>
      </c>
    </row>
    <row r="78" spans="1:19" x14ac:dyDescent="0.25">
      <c r="A78" s="5" t="s">
        <v>141</v>
      </c>
      <c r="K78">
        <v>1</v>
      </c>
    </row>
    <row r="79" spans="1:19" x14ac:dyDescent="0.25">
      <c r="A79" s="5" t="s">
        <v>138</v>
      </c>
      <c r="O79">
        <v>1</v>
      </c>
    </row>
    <row r="80" spans="1:19" x14ac:dyDescent="0.25">
      <c r="A80" s="5" t="s">
        <v>137</v>
      </c>
      <c r="O80">
        <v>2</v>
      </c>
    </row>
    <row r="81" spans="1:19" x14ac:dyDescent="0.25">
      <c r="A81" s="5" t="s">
        <v>135</v>
      </c>
      <c r="O81">
        <v>1</v>
      </c>
    </row>
    <row r="82" spans="1:19" x14ac:dyDescent="0.25">
      <c r="A82" s="5" t="s">
        <v>136</v>
      </c>
      <c r="H82">
        <v>1</v>
      </c>
    </row>
    <row r="83" spans="1:19" x14ac:dyDescent="0.25">
      <c r="A83" s="5" t="s">
        <v>159</v>
      </c>
      <c r="H83">
        <v>1</v>
      </c>
    </row>
    <row r="84" spans="1:19" x14ac:dyDescent="0.25">
      <c r="A84" s="5" t="s">
        <v>160</v>
      </c>
      <c r="R84">
        <v>1</v>
      </c>
      <c r="S84">
        <v>1</v>
      </c>
    </row>
    <row r="85" spans="1:19" x14ac:dyDescent="0.25">
      <c r="A85" s="5" t="s">
        <v>127</v>
      </c>
      <c r="R85">
        <v>1</v>
      </c>
      <c r="S85">
        <v>1</v>
      </c>
    </row>
    <row r="86" spans="1:19" x14ac:dyDescent="0.25">
      <c r="A86" s="5" t="s">
        <v>124</v>
      </c>
      <c r="I86">
        <v>1</v>
      </c>
    </row>
    <row r="87" spans="1:19" x14ac:dyDescent="0.25">
      <c r="A87" s="5" t="s">
        <v>123</v>
      </c>
      <c r="E87">
        <v>2</v>
      </c>
    </row>
    <row r="88" spans="1:19" x14ac:dyDescent="0.25">
      <c r="A88" s="5" t="s">
        <v>10</v>
      </c>
      <c r="D88">
        <v>1</v>
      </c>
      <c r="F88">
        <v>2</v>
      </c>
      <c r="I88">
        <v>1</v>
      </c>
      <c r="J88">
        <v>1</v>
      </c>
      <c r="K88">
        <v>1</v>
      </c>
      <c r="M88">
        <v>3</v>
      </c>
      <c r="O88">
        <v>4</v>
      </c>
    </row>
    <row r="89" spans="1:19" x14ac:dyDescent="0.25">
      <c r="A89" s="5" t="s">
        <v>69</v>
      </c>
      <c r="I89">
        <v>2</v>
      </c>
      <c r="L89">
        <v>2</v>
      </c>
      <c r="O89">
        <v>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D43BA-166B-4283-84C8-A6483CD40CBF}">
  <dimension ref="U5"/>
  <sheetViews>
    <sheetView showGridLines="0" showRowColHeaders="0" workbookViewId="0">
      <selection activeCell="AE9" sqref="AE9"/>
    </sheetView>
  </sheetViews>
  <sheetFormatPr defaultRowHeight="15" x14ac:dyDescent="0.25"/>
  <sheetData>
    <row r="5" spans="21:21" x14ac:dyDescent="0.25">
      <c r="U5"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8F502-4ACF-4476-A2D1-7AC9F119D923}">
  <sheetPr codeName="Sheet4"/>
  <dimension ref="A1:J5"/>
  <sheetViews>
    <sheetView workbookViewId="0">
      <selection activeCell="D22" sqref="D22"/>
    </sheetView>
  </sheetViews>
  <sheetFormatPr defaultRowHeight="15" x14ac:dyDescent="0.25"/>
  <cols>
    <col min="1" max="1" width="19.85546875" customWidth="1"/>
    <col min="2" max="2" width="25" customWidth="1"/>
    <col min="3" max="3" width="12" customWidth="1"/>
    <col min="10" max="10" width="27.7109375" customWidth="1"/>
  </cols>
  <sheetData>
    <row r="1" spans="1:10" x14ac:dyDescent="0.25">
      <c r="A1" t="s">
        <v>161</v>
      </c>
      <c r="B1">
        <v>165</v>
      </c>
    </row>
    <row r="2" spans="1:10" x14ac:dyDescent="0.25">
      <c r="A2" t="s">
        <v>162</v>
      </c>
      <c r="B2">
        <v>70</v>
      </c>
    </row>
    <row r="3" spans="1:10" x14ac:dyDescent="0.25">
      <c r="A3" t="s">
        <v>2</v>
      </c>
      <c r="B3">
        <f>B2/(B1/100)^2</f>
        <v>25.711662075298442</v>
      </c>
    </row>
    <row r="4" spans="1:10" x14ac:dyDescent="0.25">
      <c r="J4" s="3" t="s">
        <v>163</v>
      </c>
    </row>
    <row r="5" spans="1:10" x14ac:dyDescent="0.25">
      <c r="J5" s="2" t="s">
        <v>164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052A0D59-DD97-42BB-952C-958CD7578063}">
  <ds:schemaRefs/>
</ds:datastoreItem>
</file>

<file path=customXml/itemProps2.xml><?xml version="1.0" encoding="utf-8"?>
<ds:datastoreItem xmlns:ds="http://schemas.openxmlformats.org/officeDocument/2006/customXml" ds:itemID="{7A19103A-EDBC-4DDD-9546-105BA18B70E4}">
  <ds:schemaRefs/>
</ds:datastoreItem>
</file>

<file path=customXml/itemProps3.xml><?xml version="1.0" encoding="utf-8"?>
<ds:datastoreItem xmlns:ds="http://schemas.openxmlformats.org/officeDocument/2006/customXml" ds:itemID="{E355A569-7C10-4821-8BC4-1EEDE9249D11}">
  <ds:schemaRefs/>
</ds:datastoreItem>
</file>

<file path=customXml/itemProps4.xml><?xml version="1.0" encoding="utf-8"?>
<ds:datastoreItem xmlns:ds="http://schemas.openxmlformats.org/officeDocument/2006/customXml" ds:itemID="{8D8E39B3-B76F-49BA-8173-A841F1EEBBF7}">
  <ds:schemaRefs>
    <ds:schemaRef ds:uri="http://schemas.microsoft.com/DataMashup"/>
  </ds:schemaRefs>
</ds:datastoreItem>
</file>

<file path=customXml/itemProps5.xml><?xml version="1.0" encoding="utf-8"?>
<ds:datastoreItem xmlns:ds="http://schemas.openxmlformats.org/officeDocument/2006/customXml" ds:itemID="{489D8AAB-090F-4EFF-8E1F-DDACEA794023}">
  <ds:schemaRefs/>
</ds:datastoreItem>
</file>

<file path=customXml/itemProps6.xml><?xml version="1.0" encoding="utf-8"?>
<ds:datastoreItem xmlns:ds="http://schemas.openxmlformats.org/officeDocument/2006/customXml" ds:itemID="{CBC95D2A-14CB-4370-ADB7-321580D8AF94}">
  <ds:schemaRefs/>
</ds:datastoreItem>
</file>

<file path=customXml/itemProps7.xml><?xml version="1.0" encoding="utf-8"?>
<ds:datastoreItem xmlns:ds="http://schemas.openxmlformats.org/officeDocument/2006/customXml" ds:itemID="{FA9D72AF-B9C2-4382-8F7E-E80CA3EF6C47}">
  <ds:schemaRefs/>
</ds:datastoreItem>
</file>

<file path=customXml/itemProps8.xml><?xml version="1.0" encoding="utf-8"?>
<ds:datastoreItem xmlns:ds="http://schemas.openxmlformats.org/officeDocument/2006/customXml" ds:itemID="{7063E36A-A594-4585-ADBA-DA79F3846AB9}">
  <ds:schemaRefs/>
</ds:datastoreItem>
</file>

<file path=customXml/itemProps9.xml><?xml version="1.0" encoding="utf-8"?>
<ds:datastoreItem xmlns:ds="http://schemas.openxmlformats.org/officeDocument/2006/customXml" ds:itemID="{B53F906C-ECAA-489E-A74A-927913FFFECA}">
  <ds:schemaRefs/>
</ds:datastoreItem>
</file>

<file path=customXml/itemProps10.xml><?xml version="1.0" encoding="utf-8"?>
<ds:datastoreItem xmlns:ds="http://schemas.openxmlformats.org/officeDocument/2006/customXml" ds:itemID="{21846769-97EF-4364-9B06-A3510F38F989}">
  <ds:schemaRefs/>
</ds:datastoreItem>
</file>

<file path=customXml/itemProps11.xml><?xml version="1.0" encoding="utf-8"?>
<ds:datastoreItem xmlns:ds="http://schemas.openxmlformats.org/officeDocument/2006/customXml" ds:itemID="{A0F65E6D-242A-4EF0-A273-33A936DF532E}">
  <ds:schemaRefs/>
</ds:datastoreItem>
</file>

<file path=customXml/itemProps12.xml><?xml version="1.0" encoding="utf-8"?>
<ds:datastoreItem xmlns:ds="http://schemas.openxmlformats.org/officeDocument/2006/customXml" ds:itemID="{F3AACE1B-C876-4AE1-A219-96F929DCCE04}">
  <ds:schemaRefs/>
</ds:datastoreItem>
</file>

<file path=customXml/itemProps13.xml><?xml version="1.0" encoding="utf-8"?>
<ds:datastoreItem xmlns:ds="http://schemas.openxmlformats.org/officeDocument/2006/customXml" ds:itemID="{7BC3FFA2-E813-499F-B0B7-7392CFD19154}">
  <ds:schemaRefs/>
</ds:datastoreItem>
</file>

<file path=customXml/itemProps14.xml><?xml version="1.0" encoding="utf-8"?>
<ds:datastoreItem xmlns:ds="http://schemas.openxmlformats.org/officeDocument/2006/customXml" ds:itemID="{13B1EB2E-33D3-46BF-B72B-E0A175905022}">
  <ds:schemaRefs/>
</ds:datastoreItem>
</file>

<file path=customXml/itemProps15.xml><?xml version="1.0" encoding="utf-8"?>
<ds:datastoreItem xmlns:ds="http://schemas.openxmlformats.org/officeDocument/2006/customXml" ds:itemID="{FD1D242F-1AC3-4210-8777-F9A13AFF70BB}">
  <ds:schemaRefs/>
</ds:datastoreItem>
</file>

<file path=customXml/itemProps16.xml><?xml version="1.0" encoding="utf-8"?>
<ds:datastoreItem xmlns:ds="http://schemas.openxmlformats.org/officeDocument/2006/customXml" ds:itemID="{56E50D33-BF65-4700-8618-64AE487BBB6F}">
  <ds:schemaRefs/>
</ds:datastoreItem>
</file>

<file path=customXml/itemProps17.xml><?xml version="1.0" encoding="utf-8"?>
<ds:datastoreItem xmlns:ds="http://schemas.openxmlformats.org/officeDocument/2006/customXml" ds:itemID="{1D3A3A36-44A6-4235-BDA1-DAC3B5AB5C8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Health and Nutritional Awarenes</vt:lpstr>
      <vt:lpstr>Sheet1</vt:lpstr>
      <vt:lpstr>Table1</vt:lpstr>
      <vt:lpstr>PivotTable</vt:lpstr>
      <vt:lpstr>DashBoard</vt:lpstr>
      <vt:lpstr>GOALSEEK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Parvathy Biju</cp:lastModifiedBy>
  <dcterms:created xsi:type="dcterms:W3CDTF">2026-02-03T10:28:48Z</dcterms:created>
  <dcterms:modified xsi:type="dcterms:W3CDTF">2026-08-11T11:18:02Z</dcterms:modified>
</cp:coreProperties>
</file>